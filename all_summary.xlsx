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ha\Pak Putra\Kontriusi Promo Terhadap Sales Januari 2026\Kontribusi Promo terhadap Net Sales (year and monthly)\"/>
    </mc:Choice>
  </mc:AlternateContent>
  <xr:revisionPtr revIDLastSave="0" documentId="13_ncr:1_{7CFC8276-2D30-473F-97C7-C2A3982A7AF0}" xr6:coauthVersionLast="47" xr6:coauthVersionMax="47" xr10:uidLastSave="{00000000-0000-0000-0000-000000000000}"/>
  <bookViews>
    <workbookView xWindow="2685" yWindow="2685" windowWidth="15375" windowHeight="7785" tabRatio="685" firstSheet="3" activeTab="3" xr2:uid="{D1C57452-5785-41F4-B1D4-88AB0B8DB8D8}"/>
  </bookViews>
  <sheets>
    <sheet name="Summary All (Year)" sheetId="1" r:id="rId1"/>
    <sheet name="Summary All (Month)" sheetId="2" r:id="rId2"/>
    <sheet name="Summary Non Cigarette (Year)" sheetId="3" r:id="rId3"/>
    <sheet name="Summary Non Cigarette (Month)" sheetId="4" r:id="rId4"/>
    <sheet name="Summary Cigarette Only (Month)" sheetId="6" r:id="rId5"/>
  </sheets>
  <definedNames>
    <definedName name="ExternalData_1" localSheetId="1" hidden="1">'Summary All (Month)'!$A$1:$B$77</definedName>
    <definedName name="ExternalData_1" localSheetId="3" hidden="1">'Summary Non Cigarette (Month)'!$A$1:$B$77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6" l="1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2" i="1"/>
  <c r="G3" i="1"/>
  <c r="G4" i="1"/>
  <c r="G5" i="1"/>
  <c r="G6" i="1"/>
  <c r="G7" i="1"/>
  <c r="G8" i="1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I28" i="4"/>
  <c r="G28" i="4"/>
  <c r="G27" i="4"/>
  <c r="I27" i="4" s="1"/>
  <c r="G26" i="4"/>
  <c r="I26" i="4" s="1"/>
  <c r="G25" i="4"/>
  <c r="I25" i="4" s="1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3" i="3"/>
  <c r="H8" i="3"/>
  <c r="H7" i="3"/>
  <c r="H6" i="3"/>
  <c r="H5" i="3"/>
  <c r="H4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23EE0-99E4-4933-AB7C-5A98CF23193B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  <connection id="2" xr16:uid="{9C4FE3E1-25DC-4FA6-9ADB-FEED15DBC603}" keepAlive="1" name="Query - Table3 (4)" description="Connection to the 'Table3 (4)' query in the workbook." type="5" refreshedVersion="7" background="1" saveData="1">
    <dbPr connection="Provider=Microsoft.Mashup.OleDb.1;Data Source=$Workbook$;Location=&quot;Table3 (4)&quot;;Extended Properties=&quot;&quot;" command="SELECT * FROM [Table3 (4)]"/>
  </connection>
</connections>
</file>

<file path=xl/sharedStrings.xml><?xml version="1.0" encoding="utf-8"?>
<sst xmlns="http://schemas.openxmlformats.org/spreadsheetml/2006/main" count="195" uniqueCount="29">
  <si>
    <t>Category</t>
  </si>
  <si>
    <t>Jumlah Promo</t>
  </si>
  <si>
    <t>NOC</t>
  </si>
  <si>
    <t>Visit Customer</t>
  </si>
  <si>
    <t>Sales Amount</t>
  </si>
  <si>
    <t>Net Sales (by Group Category)</t>
  </si>
  <si>
    <t>Kontribusi Promo pada Net Sales</t>
  </si>
  <si>
    <t>Cigerette Sales</t>
  </si>
  <si>
    <t>Qty Promo</t>
  </si>
  <si>
    <t>Month</t>
  </si>
  <si>
    <t>Sales Cigarattes</t>
  </si>
  <si>
    <t>Kontribusi Sales</t>
  </si>
  <si>
    <t>January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</si>
  <si>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</si>
  <si>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</si>
  <si>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</si>
  <si>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</si>
  <si>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</si>
  <si>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</si>
  <si>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</si>
  <si>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</si>
  <si>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</si>
  <si>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</si>
  <si>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February 2025</t>
  </si>
  <si>
    <t xml:space="preserve"> PROGRAM ESSE AGUSTUS</t>
  </si>
  <si>
    <t xml:space="preserve">Cigarette </t>
  </si>
  <si>
    <t>Net Sales (Cigarette and Tabacco)</t>
  </si>
  <si>
    <t>Sales Contribution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</si>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</sst>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3" fontId="0" fillId="0" borderId="5" xfId="0" applyNumberFormat="1" applyBorder="1"/>
    <xf numFmtId="3" fontId="3" fillId="0" borderId="5" xfId="0" applyNumberFormat="1" applyFont="1" applyBorder="1"/>
    <xf numFmtId="10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10" fontId="0" fillId="0" borderId="9" xfId="0" applyNumberFormat="1" applyBorder="1"/>
    <xf numFmtId="3" fontId="3" fillId="0" borderId="6" xfId="0" applyNumberFormat="1" applyFont="1" applyBorder="1"/>
    <xf numFmtId="3" fontId="0" fillId="0" borderId="6" xfId="0" applyNumberFormat="1" applyBorder="1"/>
    <xf numFmtId="3" fontId="0" fillId="0" borderId="9" xfId="0" applyNumberFormat="1" applyBorder="1"/>
    <xf numFmtId="0" fontId="1" fillId="3" borderId="10" xfId="0" applyFont="1" applyFill="1" applyBorder="1"/>
    <xf numFmtId="0" fontId="1" fillId="3" borderId="0" xfId="0" applyFont="1" applyFill="1"/>
    <xf numFmtId="0" fontId="0" fillId="0" borderId="0" xfId="0" applyAlignment="1">
      <alignment horizontal="center"/>
    </xf>
    <xf numFmtId="3" fontId="0" fillId="0" borderId="0" xfId="0" applyNumberFormat="1"/>
    <xf numFmtId="10" fontId="0" fillId="0" borderId="0" xfId="0" applyNumberFormat="1"/>
    <xf numFmtId="3" fontId="0" fillId="4" borderId="0" xfId="0" applyNumberFormat="1" applyFill="1"/>
    <xf numFmtId="3" fontId="0" fillId="0" borderId="0" xfId="0" applyNumberFormat="1" applyBorder="1"/>
    <xf numFmtId="0" fontId="1" fillId="5" borderId="5" xfId="0" applyFont="1" applyFill="1" applyBorder="1"/>
    <xf numFmtId="0" fontId="0" fillId="0" borderId="5" xfId="0" applyBorder="1"/>
    <xf numFmtId="10" fontId="0" fillId="0" borderId="5" xfId="0" applyNumberFormat="1" applyBorder="1"/>
    <xf numFmtId="17" fontId="0" fillId="0" borderId="5" xfId="0" applyNumberFormat="1" applyBorder="1"/>
  </cellXfs>
  <cellStyles count="1">
    <cellStyle name="Normal" xfId="0" builtinId="0"/>
  </cellStyles>
  <dxfs count="38">
    <dxf>
      <numFmt numFmtId="3" formatCode="#,##0"/>
    </dxf>
    <dxf>
      <numFmt numFmtId="14" formatCode="0.00%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64400D-F259-47EC-A396-0EC8866DFAB0}" autoFormatId="16" applyNumberFormats="0" applyBorderFormats="0" applyFontFormats="0" applyPatternFormats="0" applyAlignmentFormats="0" applyWidthHeightFormats="0">
  <queryTableRefresh nextId="11" unboundColumnsRight="6">
    <queryTableFields count="8">
      <queryTableField id="1" name="Row Labels" tableColumnId="1"/>
      <queryTableField id="2" name="Attribute" tableColumnId="2"/>
      <queryTableField id="8" dataBound="0" tableColumnId="3"/>
      <queryTableField id="4" dataBound="0" tableColumnId="4"/>
      <queryTableField id="9" dataBound="0" tableColumnId="8"/>
      <queryTableField id="5" dataBound="0" tableColumnId="5"/>
      <queryTableField id="6" dataBound="0" tableColumnId="6"/>
      <queryTableField id="7" dataBound="0" tableColumnId="7"/>
    </queryTableFields>
    <queryTableDeletedFields count="1">
      <deletedField name="Valu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0873B0-1354-4852-9AB3-119F7B815BB1}" autoFormatId="16" applyNumberFormats="0" applyBorderFormats="0" applyFontFormats="0" applyPatternFormats="0" applyAlignmentFormats="0" applyWidthHeightFormats="0">
  <queryTableRefresh nextId="12" unboundColumnsRight="7">
    <queryTableFields count="9">
      <queryTableField id="1" name="Row Labels" tableColumnId="1"/>
      <queryTableField id="2" name="Attribute" tableColumnId="2"/>
      <queryTableField id="8" dataBound="0" tableColumnId="3"/>
      <queryTableField id="4" dataBound="0" tableColumnId="4"/>
      <queryTableField id="9" dataBound="0" tableColumnId="8"/>
      <queryTableField id="5" dataBound="0" tableColumnId="5"/>
      <queryTableField id="6" dataBound="0" tableColumnId="6"/>
      <queryTableField id="10" dataBound="0" tableColumnId="9"/>
      <queryTableField id="7" dataBound="0" tableColumnId="7"/>
    </queryTableFields>
    <queryTableDeletedFields count="1">
      <deletedField name="Valu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48E7C-25A2-49A3-8CFA-FA08F5324AC2}" name="Year" displayName="Year" ref="A1:G8" totalsRowShown="0" headerRowDxfId="37" headerRowBorderDxfId="35" tableBorderDxfId="36" totalsRowBorderDxfId="34">
  <autoFilter ref="A1:G8" xr:uid="{F0D48E7C-25A2-49A3-8CFA-FA08F5324AC2}"/>
  <tableColumns count="7">
    <tableColumn id="1" xr3:uid="{410D1F75-8DD8-48F0-9448-D045809FBC51}" name="Category" dataDxfId="33"/>
    <tableColumn id="2" xr3:uid="{B34BDC7A-3CF0-4CA0-A0D3-982AF0A6037E}" name="Jumlah Promo" dataDxfId="32"/>
    <tableColumn id="3" xr3:uid="{C1948483-90F7-40D0-88FD-B23A02275B07}" name="NOC" dataDxfId="31"/>
    <tableColumn id="4" xr3:uid="{5AC5E724-C5B5-4BD5-A8F1-86230E99819D}" name="Visit Customer" dataDxfId="30"/>
    <tableColumn id="5" xr3:uid="{E12A7C8F-D949-45C8-924E-20839111E7D1}" name="Sales Amount" dataDxfId="29"/>
    <tableColumn id="6" xr3:uid="{B6018DB4-520E-40FF-A825-B52A1A5F0F80}" name="Net Sales (by Group Category)" dataDxfId="28"/>
    <tableColumn id="7" xr3:uid="{9043E66E-5822-4874-88AA-981EEC8B8968}" name="Kontribusi Promo pada Net Sales" dataDxfId="27">
      <calculatedColumnFormula>E2/F2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C30C1A-C0AE-407D-8E41-8C0ACD013A20}" name="Table3_25" displayName="Table3_25" ref="A1:H77" tableType="queryTable" totalsRowShown="0">
  <autoFilter ref="A1:H77" xr:uid="{59C30C1A-C0AE-407D-8E41-8C0ACD013A20}"/>
  <sortState xmlns:xlrd2="http://schemas.microsoft.com/office/spreadsheetml/2017/richdata2" ref="A2:H77">
    <sortCondition ref="A1:A77"/>
  </sortState>
  <tableColumns count="8">
    <tableColumn id="1" xr3:uid="{6DE06E4A-CD9C-4CF0-B5E8-AB80B53BF98B}" uniqueName="1" name="Category" queryTableFieldId="1"/>
    <tableColumn id="2" xr3:uid="{0DB11EBB-225F-4A2D-80E2-F9F5B61C0647}" uniqueName="2" name="Month" queryTableFieldId="2" dataDxfId="7"/>
    <tableColumn id="3" xr3:uid="{84C9038F-902F-42D5-A8EA-F93C2DB1BFF2}" uniqueName="3" name="Qty Promo" queryTableFieldId="8" dataDxfId="6"/>
    <tableColumn id="4" xr3:uid="{5A161310-33C5-4FED-B0A4-DD2E0725B962}" uniqueName="4" name="NOC" queryTableFieldId="4" dataDxfId="5"/>
    <tableColumn id="8" xr3:uid="{4FD01A00-DF76-4584-85D0-826A615295DA}" uniqueName="8" name="Visit Customer" queryTableFieldId="9" dataDxfId="4"/>
    <tableColumn id="5" xr3:uid="{2974DAC2-1622-4038-8583-9933FB9CB25C}" uniqueName="5" name="Sales Amount" queryTableFieldId="5" dataDxfId="3"/>
    <tableColumn id="6" xr3:uid="{9402EB3B-F5BC-494B-827C-4ED3BCCA930F}" uniqueName="6" name="Net Sales (by Group Category)" queryTableFieldId="6" dataDxfId="2"/>
    <tableColumn id="7" xr3:uid="{32B93682-3B65-4F15-9CDF-0945072971A9}" uniqueName="7" name="Kontribusi Sales" queryTableFieldId="7" dataDxfId="1">
      <calculatedColumnFormula>Table3_25[[#This Row],[Sales Amount]]/Table3_25[[#This Row],[Net Sales (by Group Category)]]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0AFCE-B5E3-46D5-A3C1-078C4838C38F}" name="Year3" displayName="Year3" ref="A1:H8" totalsRowShown="0" headerRowDxfId="26" headerRowBorderDxfId="24" tableBorderDxfId="25" totalsRowBorderDxfId="23">
  <autoFilter ref="A1:H8" xr:uid="{87F0AFCE-B5E3-46D5-A3C1-078C4838C38F}"/>
  <tableColumns count="8">
    <tableColumn id="1" xr3:uid="{AF6878EB-8193-484E-A3FE-2CB814516311}" name="Category" dataDxfId="22"/>
    <tableColumn id="2" xr3:uid="{6C0FB35B-704B-40EE-ADEA-DBFA524D509F}" name="Qty Promo" dataDxfId="21"/>
    <tableColumn id="3" xr3:uid="{AD31E108-5CCC-412D-974E-E279BA96E0D9}" name="NOC" dataDxfId="20"/>
    <tableColumn id="4" xr3:uid="{15AAD515-4704-4B0A-8732-9E31EBADCA92}" name="Visit Customer" dataDxfId="19"/>
    <tableColumn id="5" xr3:uid="{10FE1CC9-36E6-4925-BCD8-D117CB1E657B}" name="Sales Amount" dataDxfId="18"/>
    <tableColumn id="6" xr3:uid="{68CD74B6-72CB-4904-9F55-8591F276A9C8}" name="Net Sales (by Group Category)" dataDxfId="17"/>
    <tableColumn id="9" xr3:uid="{861E50B4-3FD4-4E37-8A84-9C78ED5D7006}" name="Cigerette Sales" dataDxfId="15"/>
    <tableColumn id="7" xr3:uid="{C3863FFA-E1B9-4D47-A245-A7490D92D7E1}" name="Kontribusi Promo pada Net Sales" dataDxfId="16">
      <calculatedColumnFormula>E2/F2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DAFB4-1F7C-4C1C-8BAE-04FA5AC32970}" name="Table3_2" displayName="Table3_2" ref="A1:I77" tableType="queryTable" totalsRowShown="0">
  <autoFilter ref="A1:I77" xr:uid="{A47DAFB4-1F7C-4C1C-8BAE-04FA5AC32970}"/>
  <sortState xmlns:xlrd2="http://schemas.microsoft.com/office/spreadsheetml/2017/richdata2" ref="A2:I77">
    <sortCondition ref="A1:A77"/>
  </sortState>
  <tableColumns count="9">
    <tableColumn id="1" xr3:uid="{B7C8F439-E4DD-441B-83EC-B53354EA26E4}" uniqueName="1" name="Category" queryTableFieldId="1"/>
    <tableColumn id="2" xr3:uid="{2CD23A8E-71F2-40E2-B5ED-609F4046F3E4}" uniqueName="2" name="Month" queryTableFieldId="2" dataDxfId="14"/>
    <tableColumn id="3" xr3:uid="{D2549C2E-7157-4CE3-A38A-9F1D9A57434E}" uniqueName="3" name="Qty Promo" queryTableFieldId="8" dataDxfId="13"/>
    <tableColumn id="4" xr3:uid="{11743297-9BEA-4186-8ACC-397F6396CA6D}" uniqueName="4" name="NOC" queryTableFieldId="4" dataDxfId="12"/>
    <tableColumn id="8" xr3:uid="{DF922964-DD5B-4D3E-A614-327C13A0EA1B}" uniqueName="8" name="Visit Customer" queryTableFieldId="9" dataDxfId="11"/>
    <tableColumn id="5" xr3:uid="{AAFBDD74-2A4E-4641-BAD6-EA24B760999A}" uniqueName="5" name="Sales Amount" queryTableFieldId="5" dataDxfId="10"/>
    <tableColumn id="6" xr3:uid="{34943A83-F905-41D9-8772-2E195E333E9D}" uniqueName="6" name="Net Sales (by Group Category)" queryTableFieldId="6" dataDxfId="9"/>
    <tableColumn id="9" xr3:uid="{61A2AB89-1454-4238-91AD-C98315FB7988}" uniqueName="9" name="Sales Cigarattes" queryTableFieldId="10" dataDxfId="0"/>
    <tableColumn id="7" xr3:uid="{55777565-024D-4833-AFEC-8086B82E93DD}" uniqueName="7" name="Kontribusi Sales" queryTableFieldId="7" dataDxfId="8">
      <calculatedColumnFormula>Table3_2[[#This Row],[Sales Amount]]/Table3_2[[#This Row],[Net Sales (by Group Category)]]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F562-7634-49EF-9EB3-31157ABBD680}">
  <dimension ref="A1:G8"/>
  <sheetViews>
    <sheetView workbookViewId="0">
      <selection activeCell="E18" sqref="E18"/>
    </sheetView>
  </sheetViews>
  <sheetFormatPr defaultRowHeight="15" x14ac:dyDescent="0.25"/>
  <cols>
    <col min="1" max="1" width="11.140625" bestFit="1" customWidth="1"/>
    <col min="2" max="2" width="16" bestFit="1" customWidth="1"/>
    <col min="3" max="3" width="7.5703125" bestFit="1" customWidth="1"/>
    <col min="4" max="4" width="16.42578125" bestFit="1" customWidth="1"/>
    <col min="5" max="5" width="15.5703125" bestFit="1" customWidth="1"/>
    <col min="6" max="6" width="16.42578125" bestFit="1" customWidth="1"/>
    <col min="7" max="7" width="30.42578125" bestFit="1" customWidth="1"/>
    <col min="8" max="8" width="32.855468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11</v>
      </c>
      <c r="B2" s="5">
        <v>27</v>
      </c>
      <c r="C2" s="5">
        <v>7983</v>
      </c>
      <c r="D2" s="5">
        <v>257418</v>
      </c>
      <c r="E2" s="5">
        <v>4045355485</v>
      </c>
      <c r="F2" s="6">
        <v>699225640148</v>
      </c>
      <c r="G2" s="7">
        <f>E2/F2</f>
        <v>5.7854793255918777E-3</v>
      </c>
    </row>
    <row r="3" spans="1:7" x14ac:dyDescent="0.25">
      <c r="A3" s="4">
        <v>17</v>
      </c>
      <c r="B3" s="5">
        <v>111</v>
      </c>
      <c r="C3" s="5">
        <v>44497</v>
      </c>
      <c r="D3" s="5">
        <v>257418</v>
      </c>
      <c r="E3" s="5">
        <v>47074516663</v>
      </c>
      <c r="F3" s="5">
        <v>2723763797990</v>
      </c>
      <c r="G3" s="7">
        <f>E3/F3</f>
        <v>1.7282892407094408E-2</v>
      </c>
    </row>
    <row r="4" spans="1:7" x14ac:dyDescent="0.25">
      <c r="A4" s="4">
        <v>19</v>
      </c>
      <c r="B4" s="5">
        <v>31</v>
      </c>
      <c r="C4" s="5">
        <v>16464</v>
      </c>
      <c r="D4" s="5">
        <v>257418</v>
      </c>
      <c r="E4" s="5">
        <v>2872812250</v>
      </c>
      <c r="F4" s="5">
        <v>165140408985</v>
      </c>
      <c r="G4" s="7">
        <f>E4/F4</f>
        <v>1.7396179818477638E-2</v>
      </c>
    </row>
    <row r="5" spans="1:7" x14ac:dyDescent="0.25">
      <c r="A5" s="4">
        <v>21</v>
      </c>
      <c r="B5" s="5">
        <v>44</v>
      </c>
      <c r="C5" s="5">
        <v>47141</v>
      </c>
      <c r="D5" s="5">
        <v>257418</v>
      </c>
      <c r="E5" s="5">
        <v>35742299956</v>
      </c>
      <c r="F5" s="5">
        <v>937981853149</v>
      </c>
      <c r="G5" s="7">
        <f>E5/F5</f>
        <v>3.8105534596437736E-2</v>
      </c>
    </row>
    <row r="6" spans="1:7" x14ac:dyDescent="0.25">
      <c r="A6" s="4">
        <v>26</v>
      </c>
      <c r="B6" s="5">
        <v>58</v>
      </c>
      <c r="C6" s="5">
        <v>92065</v>
      </c>
      <c r="D6" s="5">
        <v>257418</v>
      </c>
      <c r="E6" s="5">
        <v>139705081712</v>
      </c>
      <c r="F6" s="5">
        <v>1206807818656</v>
      </c>
      <c r="G6" s="7">
        <f>E6/F6</f>
        <v>0.11576415030819656</v>
      </c>
    </row>
    <row r="7" spans="1:7" x14ac:dyDescent="0.25">
      <c r="A7" s="4">
        <v>27</v>
      </c>
      <c r="B7" s="5">
        <v>33</v>
      </c>
      <c r="C7" s="5">
        <v>18697</v>
      </c>
      <c r="D7" s="5">
        <v>257418</v>
      </c>
      <c r="E7" s="5">
        <v>4513765401</v>
      </c>
      <c r="F7" s="5">
        <v>409017620987</v>
      </c>
      <c r="G7" s="7">
        <f>E7/F7</f>
        <v>1.103562577599429E-2</v>
      </c>
    </row>
    <row r="8" spans="1:7" x14ac:dyDescent="0.25">
      <c r="A8" s="8">
        <v>14</v>
      </c>
      <c r="B8" s="9">
        <v>106</v>
      </c>
      <c r="C8" s="9">
        <v>299802</v>
      </c>
      <c r="D8" s="9">
        <v>257418</v>
      </c>
      <c r="E8" s="9">
        <v>105761582006</v>
      </c>
      <c r="F8" s="9">
        <v>506676274921</v>
      </c>
      <c r="G8" s="10">
        <f>E8/F8</f>
        <v>0.2087360060869046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ACD7-420F-465E-863B-3697BF98A1CA}">
  <dimension ref="A1:H77"/>
  <sheetViews>
    <sheetView topLeftCell="C1" workbookViewId="0">
      <selection activeCell="F7" sqref="F7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2.7109375" bestFit="1" customWidth="1"/>
    <col min="4" max="4" width="7.28515625" bestFit="1" customWidth="1"/>
    <col min="5" max="5" width="16.42578125" bestFit="1" customWidth="1"/>
    <col min="6" max="6" width="15.5703125" bestFit="1" customWidth="1"/>
    <col min="7" max="7" width="30.42578125" bestFit="1" customWidth="1"/>
    <col min="8" max="8" width="17.5703125" bestFit="1" customWidth="1"/>
  </cols>
  <sheetData>
    <row r="1" spans="1:8" x14ac:dyDescent="0.25">
      <c r="A1" t="s">
        <v>0</v>
      </c>
      <c r="B1" t="s">
        <v>9</v>
      </c>
      <c r="C1" t="s">
        <v>8</v>
      </c>
      <c r="D1" t="s">
        <v>2</v>
      </c>
      <c r="E1" t="s">
        <v>3</v>
      </c>
      <c r="F1" s="14" t="s">
        <v>4</v>
      </c>
      <c r="G1" t="s">
        <v>5</v>
      </c>
      <c r="H1" t="s">
        <v>11</v>
      </c>
    </row>
    <row r="2" spans="1:8" x14ac:dyDescent="0.25">
      <c r="A2">
        <v>11</v>
      </c>
      <c r="B2" t="s">
        <v>12</v>
      </c>
      <c r="C2" s="16">
        <v>3</v>
      </c>
      <c r="D2" s="17">
        <v>886</v>
      </c>
      <c r="E2" s="17">
        <v>16089</v>
      </c>
      <c r="F2" s="17">
        <v>164643170</v>
      </c>
      <c r="G2" s="17">
        <v>50251369246</v>
      </c>
      <c r="H2" s="18">
        <f>Table3_25[[#This Row],[Sales Amount]]/Table3_25[[#This Row],[Net Sales (by Group Category)]]</f>
        <v>3.2763917176864901E-3</v>
      </c>
    </row>
    <row r="3" spans="1:8" x14ac:dyDescent="0.25">
      <c r="A3">
        <v>11</v>
      </c>
      <c r="B3" t="s">
        <v>13</v>
      </c>
      <c r="C3" s="16">
        <v>1</v>
      </c>
      <c r="D3" s="17">
        <v>116</v>
      </c>
      <c r="E3" s="17">
        <v>56975</v>
      </c>
      <c r="F3" s="19">
        <v>49955700</v>
      </c>
      <c r="G3" s="17">
        <v>282998252946</v>
      </c>
      <c r="H3" s="18">
        <f>Table3_25[[#This Row],[Sales Amount]]/Table3_25[[#This Row],[Net Sales (by Group Category)]]</f>
        <v>1.7652299786293112E-4</v>
      </c>
    </row>
    <row r="4" spans="1:8" x14ac:dyDescent="0.25">
      <c r="A4">
        <v>11</v>
      </c>
      <c r="B4" t="s">
        <v>14</v>
      </c>
      <c r="C4" s="16">
        <v>1</v>
      </c>
      <c r="D4" s="17">
        <v>27</v>
      </c>
      <c r="E4" s="17">
        <v>24330</v>
      </c>
      <c r="F4" s="19">
        <v>14078200</v>
      </c>
      <c r="G4" s="17">
        <v>18828002806</v>
      </c>
      <c r="H4" s="18">
        <f>Table3_25[[#This Row],[Sales Amount]]/Table3_25[[#This Row],[Net Sales (by Group Category)]]</f>
        <v>7.477266784511865E-4</v>
      </c>
    </row>
    <row r="5" spans="1:8" x14ac:dyDescent="0.25">
      <c r="A5">
        <v>11</v>
      </c>
      <c r="B5" t="s">
        <v>15</v>
      </c>
      <c r="C5" s="16">
        <v>2</v>
      </c>
      <c r="D5" s="17">
        <v>235</v>
      </c>
      <c r="E5" s="17">
        <v>30801</v>
      </c>
      <c r="F5" s="17">
        <v>160646135</v>
      </c>
      <c r="G5" s="17">
        <v>19762732697</v>
      </c>
      <c r="H5" s="18">
        <f>Table3_25[[#This Row],[Sales Amount]]/Table3_25[[#This Row],[Net Sales (by Group Category)]]</f>
        <v>8.1287409723649305E-3</v>
      </c>
    </row>
    <row r="6" spans="1:8" x14ac:dyDescent="0.25">
      <c r="A6">
        <v>11</v>
      </c>
      <c r="B6" t="s">
        <v>16</v>
      </c>
      <c r="C6" s="16">
        <v>4</v>
      </c>
      <c r="D6" s="17">
        <v>438</v>
      </c>
      <c r="E6" s="17">
        <v>35694</v>
      </c>
      <c r="F6" s="17">
        <v>181008815</v>
      </c>
      <c r="G6" s="17">
        <v>22078826942</v>
      </c>
      <c r="H6" s="18">
        <f>Table3_25[[#This Row],[Sales Amount]]/Table3_25[[#This Row],[Net Sales (by Group Category)]]</f>
        <v>8.1982985543344912E-3</v>
      </c>
    </row>
    <row r="7" spans="1:8" x14ac:dyDescent="0.25">
      <c r="A7">
        <v>11</v>
      </c>
      <c r="B7" t="s">
        <v>17</v>
      </c>
      <c r="C7" s="16">
        <v>3</v>
      </c>
      <c r="D7" s="17">
        <v>455</v>
      </c>
      <c r="E7" s="17">
        <v>36073</v>
      </c>
      <c r="F7" s="19">
        <v>210851300</v>
      </c>
      <c r="G7" s="17">
        <v>21727449945</v>
      </c>
      <c r="H7" s="18">
        <f>Table3_25[[#This Row],[Sales Amount]]/Table3_25[[#This Row],[Net Sales (by Group Category)]]</f>
        <v>9.7043739846940421E-3</v>
      </c>
    </row>
    <row r="8" spans="1:8" x14ac:dyDescent="0.25">
      <c r="A8">
        <v>11</v>
      </c>
      <c r="B8" t="s">
        <v>18</v>
      </c>
      <c r="C8" s="16">
        <v>2</v>
      </c>
      <c r="D8" s="17">
        <v>3605</v>
      </c>
      <c r="E8" s="17">
        <v>43195</v>
      </c>
      <c r="F8" s="17">
        <v>671710090</v>
      </c>
      <c r="G8" s="17">
        <v>24911966510</v>
      </c>
      <c r="H8" s="18">
        <f>Table3_25[[#This Row],[Sales Amount]]/Table3_25[[#This Row],[Net Sales (by Group Category)]]</f>
        <v>2.6963350714620079E-2</v>
      </c>
    </row>
    <row r="9" spans="1:8" x14ac:dyDescent="0.25">
      <c r="A9">
        <v>11</v>
      </c>
      <c r="B9" t="s">
        <v>19</v>
      </c>
      <c r="C9" s="16">
        <v>2</v>
      </c>
      <c r="D9" s="17">
        <v>75</v>
      </c>
      <c r="E9" s="17">
        <v>45456</v>
      </c>
      <c r="F9" s="19">
        <v>56890100</v>
      </c>
      <c r="G9" s="17">
        <v>24808382730</v>
      </c>
      <c r="H9" s="18">
        <f>Table3_25[[#This Row],[Sales Amount]]/Table3_25[[#This Row],[Net Sales (by Group Category)]]</f>
        <v>2.2931805196315593E-3</v>
      </c>
    </row>
    <row r="10" spans="1:8" x14ac:dyDescent="0.25">
      <c r="A10">
        <v>11</v>
      </c>
      <c r="B10" t="s">
        <v>20</v>
      </c>
      <c r="C10" s="16">
        <v>4</v>
      </c>
      <c r="D10" s="17">
        <v>1277</v>
      </c>
      <c r="E10" s="17">
        <v>44141</v>
      </c>
      <c r="F10" s="17">
        <v>2186019200</v>
      </c>
      <c r="G10" s="17">
        <v>25662565050</v>
      </c>
      <c r="H10" s="18">
        <f>Table3_25[[#This Row],[Sales Amount]]/Table3_25[[#This Row],[Net Sales (by Group Category)]]</f>
        <v>8.5183191771393094E-2</v>
      </c>
    </row>
    <row r="11" spans="1:8" x14ac:dyDescent="0.25">
      <c r="A11">
        <v>11</v>
      </c>
      <c r="B11" t="s">
        <v>21</v>
      </c>
      <c r="C11" s="16">
        <v>3</v>
      </c>
      <c r="D11" s="17">
        <v>812</v>
      </c>
      <c r="E11" s="17">
        <v>49785</v>
      </c>
      <c r="F11" s="19">
        <v>290529275</v>
      </c>
      <c r="G11" s="17">
        <v>29579245472</v>
      </c>
      <c r="H11" s="18">
        <f>Table3_25[[#This Row],[Sales Amount]]/Table3_25[[#This Row],[Net Sales (by Group Category)]]</f>
        <v>9.8220651123443227E-3</v>
      </c>
    </row>
    <row r="12" spans="1:8" x14ac:dyDescent="0.25">
      <c r="A12">
        <v>11</v>
      </c>
      <c r="B12" t="s">
        <v>22</v>
      </c>
      <c r="C12" s="16">
        <v>2</v>
      </c>
      <c r="D12" s="17">
        <v>57</v>
      </c>
      <c r="E12" s="17">
        <v>49749</v>
      </c>
      <c r="F12" s="19">
        <v>59023500</v>
      </c>
      <c r="G12" s="17">
        <v>49656026227</v>
      </c>
      <c r="H12" s="18">
        <f>Table3_25[[#This Row],[Sales Amount]]/Table3_25[[#This Row],[Net Sales (by Group Category)]]</f>
        <v>1.188647269722653E-3</v>
      </c>
    </row>
    <row r="13" spans="1:8" x14ac:dyDescent="0.25">
      <c r="A13">
        <v>14</v>
      </c>
      <c r="B13" t="s">
        <v>12</v>
      </c>
      <c r="C13" s="16">
        <v>8</v>
      </c>
      <c r="D13" s="17">
        <v>23370</v>
      </c>
      <c r="E13" s="17">
        <v>16089</v>
      </c>
      <c r="F13" s="19">
        <v>7326986808</v>
      </c>
      <c r="G13" s="17">
        <v>40959941942</v>
      </c>
      <c r="H13" s="18">
        <f>Table3_25[[#This Row],[Sales Amount]]/Table3_25[[#This Row],[Net Sales (by Group Category)]]</f>
        <v>0.17888176741986458</v>
      </c>
    </row>
    <row r="14" spans="1:8" x14ac:dyDescent="0.25">
      <c r="A14">
        <v>14</v>
      </c>
      <c r="B14" t="s">
        <v>23</v>
      </c>
      <c r="C14" s="16">
        <v>9</v>
      </c>
      <c r="D14" s="17">
        <v>20033</v>
      </c>
      <c r="E14" s="17">
        <v>27249</v>
      </c>
      <c r="F14" s="17">
        <v>8121095144</v>
      </c>
      <c r="G14" s="17">
        <v>40341513590</v>
      </c>
      <c r="H14" s="18">
        <f>Table3_25[[#This Row],[Sales Amount]]/Table3_25[[#This Row],[Net Sales (by Group Category)]]</f>
        <v>0.20130863771093324</v>
      </c>
    </row>
    <row r="15" spans="1:8" x14ac:dyDescent="0.25">
      <c r="A15">
        <v>14</v>
      </c>
      <c r="B15" t="s">
        <v>13</v>
      </c>
      <c r="C15" s="16">
        <v>8</v>
      </c>
      <c r="D15" s="17">
        <v>20620</v>
      </c>
      <c r="E15" s="17">
        <v>56975</v>
      </c>
      <c r="F15" s="17">
        <v>6230070691</v>
      </c>
      <c r="G15" s="17">
        <v>44009852764</v>
      </c>
      <c r="H15" s="18">
        <f>Table3_25[[#This Row],[Sales Amount]]/Table3_25[[#This Row],[Net Sales (by Group Category)]]</f>
        <v>0.14156081649280566</v>
      </c>
    </row>
    <row r="16" spans="1:8" x14ac:dyDescent="0.25">
      <c r="A16">
        <v>14</v>
      </c>
      <c r="B16" t="s">
        <v>14</v>
      </c>
      <c r="C16" s="16">
        <v>10</v>
      </c>
      <c r="D16" s="17">
        <v>29559</v>
      </c>
      <c r="E16" s="17">
        <v>24330</v>
      </c>
      <c r="F16" s="19">
        <v>10048363375</v>
      </c>
      <c r="G16" s="17">
        <v>46525387981</v>
      </c>
      <c r="H16" s="18">
        <f>Table3_25[[#This Row],[Sales Amount]]/Table3_25[[#This Row],[Net Sales (by Group Category)]]</f>
        <v>0.21597591790322185</v>
      </c>
    </row>
    <row r="17" spans="1:8" x14ac:dyDescent="0.25">
      <c r="A17">
        <v>14</v>
      </c>
      <c r="B17" t="s">
        <v>15</v>
      </c>
      <c r="C17" s="16">
        <v>13</v>
      </c>
      <c r="D17" s="17">
        <v>39267</v>
      </c>
      <c r="E17" s="17">
        <v>30801</v>
      </c>
      <c r="F17" s="19">
        <v>13125670043</v>
      </c>
      <c r="G17" s="17">
        <v>44774225072</v>
      </c>
      <c r="H17" s="18">
        <f>Table3_25[[#This Row],[Sales Amount]]/Table3_25[[#This Row],[Net Sales (by Group Category)]]</f>
        <v>0.29315236661032168</v>
      </c>
    </row>
    <row r="18" spans="1:8" x14ac:dyDescent="0.25">
      <c r="A18">
        <v>14</v>
      </c>
      <c r="B18" t="s">
        <v>16</v>
      </c>
      <c r="C18" s="16">
        <v>11</v>
      </c>
      <c r="D18" s="17">
        <v>26338</v>
      </c>
      <c r="E18" s="17">
        <v>35694</v>
      </c>
      <c r="F18" s="19">
        <v>8917471911</v>
      </c>
      <c r="G18" s="17">
        <v>40172138308</v>
      </c>
      <c r="H18" s="18">
        <f>Table3_25[[#This Row],[Sales Amount]]/Table3_25[[#This Row],[Net Sales (by Group Category)]]</f>
        <v>0.22198150973766184</v>
      </c>
    </row>
    <row r="19" spans="1:8" x14ac:dyDescent="0.25">
      <c r="A19">
        <v>14</v>
      </c>
      <c r="B19" t="s">
        <v>17</v>
      </c>
      <c r="C19" s="16">
        <v>9</v>
      </c>
      <c r="D19" s="17">
        <v>32436</v>
      </c>
      <c r="E19" s="17">
        <v>36073</v>
      </c>
      <c r="F19" s="17">
        <v>9934464724</v>
      </c>
      <c r="G19" s="17">
        <v>39998318857</v>
      </c>
      <c r="H19" s="18">
        <f>Table3_25[[#This Row],[Sales Amount]]/Table3_25[[#This Row],[Net Sales (by Group Category)]]</f>
        <v>0.24837205682361813</v>
      </c>
    </row>
    <row r="20" spans="1:8" x14ac:dyDescent="0.25">
      <c r="A20">
        <v>14</v>
      </c>
      <c r="B20" t="s">
        <v>18</v>
      </c>
      <c r="C20" s="16">
        <v>5</v>
      </c>
      <c r="D20" s="17">
        <v>15555</v>
      </c>
      <c r="E20" s="17">
        <v>43195</v>
      </c>
      <c r="F20" s="17">
        <v>6219041283</v>
      </c>
      <c r="G20" s="17">
        <v>37134052274</v>
      </c>
      <c r="H20" s="18">
        <f>Table3_25[[#This Row],[Sales Amount]]/Table3_25[[#This Row],[Net Sales (by Group Category)]]</f>
        <v>0.16747542759706732</v>
      </c>
    </row>
    <row r="21" spans="1:8" x14ac:dyDescent="0.25">
      <c r="A21">
        <v>14</v>
      </c>
      <c r="B21" t="s">
        <v>19</v>
      </c>
      <c r="C21" s="16">
        <v>9</v>
      </c>
      <c r="D21" s="17">
        <v>30405</v>
      </c>
      <c r="E21" s="17">
        <v>45456</v>
      </c>
      <c r="F21" s="17">
        <v>11630353999</v>
      </c>
      <c r="G21" s="17">
        <v>40527140631</v>
      </c>
      <c r="H21" s="18">
        <f>Table3_25[[#This Row],[Sales Amount]]/Table3_25[[#This Row],[Net Sales (by Group Category)]]</f>
        <v>0.28697692010631798</v>
      </c>
    </row>
    <row r="22" spans="1:8" x14ac:dyDescent="0.25">
      <c r="A22">
        <v>14</v>
      </c>
      <c r="B22" t="s">
        <v>20</v>
      </c>
      <c r="C22" s="16">
        <v>11</v>
      </c>
      <c r="D22" s="17">
        <v>25713</v>
      </c>
      <c r="E22" s="17">
        <v>44141</v>
      </c>
      <c r="F22" s="19">
        <v>10095439585</v>
      </c>
      <c r="G22" s="17">
        <v>44254458770</v>
      </c>
      <c r="H22" s="18">
        <f>Table3_25[[#This Row],[Sales Amount]]/Table3_25[[#This Row],[Net Sales (by Group Category)]]</f>
        <v>0.2281225409956584</v>
      </c>
    </row>
    <row r="23" spans="1:8" x14ac:dyDescent="0.25">
      <c r="A23">
        <v>14</v>
      </c>
      <c r="B23" t="s">
        <v>21</v>
      </c>
      <c r="C23" s="16">
        <v>9</v>
      </c>
      <c r="D23" s="17">
        <v>24933</v>
      </c>
      <c r="E23" s="17">
        <v>49785</v>
      </c>
      <c r="F23" s="17">
        <v>9448235752</v>
      </c>
      <c r="G23" s="17">
        <v>42053086165</v>
      </c>
      <c r="H23" s="18">
        <f>Table3_25[[#This Row],[Sales Amount]]/Table3_25[[#This Row],[Net Sales (by Group Category)]]</f>
        <v>0.22467401595518549</v>
      </c>
    </row>
    <row r="24" spans="1:8" x14ac:dyDescent="0.25">
      <c r="A24">
        <v>14</v>
      </c>
      <c r="B24" t="s">
        <v>22</v>
      </c>
      <c r="C24" s="16">
        <v>4</v>
      </c>
      <c r="D24" s="17">
        <v>11573</v>
      </c>
      <c r="E24" s="17">
        <v>49749</v>
      </c>
      <c r="F24" s="19">
        <v>4664388691</v>
      </c>
      <c r="G24" s="17">
        <v>45925662080</v>
      </c>
      <c r="H24" s="18">
        <f>Table3_25[[#This Row],[Sales Amount]]/Table3_25[[#This Row],[Net Sales (by Group Category)]]</f>
        <v>0.10156388563054114</v>
      </c>
    </row>
    <row r="25" spans="1:8" x14ac:dyDescent="0.25">
      <c r="A25">
        <v>17</v>
      </c>
      <c r="B25" t="s">
        <v>13</v>
      </c>
      <c r="C25" s="16">
        <v>2</v>
      </c>
      <c r="D25" s="17">
        <v>2147</v>
      </c>
      <c r="E25" s="17">
        <v>56975</v>
      </c>
      <c r="F25" s="19">
        <v>1594708102</v>
      </c>
      <c r="G25" s="17">
        <v>292639779315</v>
      </c>
      <c r="H25" s="18">
        <f>Table3_25[[#This Row],[Sales Amount]]/Table3_25[[#This Row],[Net Sales (by Group Category)]]</f>
        <v>5.4493893678187969E-3</v>
      </c>
    </row>
    <row r="26" spans="1:8" x14ac:dyDescent="0.25">
      <c r="A26">
        <v>17</v>
      </c>
      <c r="B26" t="s">
        <v>14</v>
      </c>
      <c r="C26" s="16">
        <v>2</v>
      </c>
      <c r="D26" s="17">
        <v>1063</v>
      </c>
      <c r="E26" s="17">
        <v>24330</v>
      </c>
      <c r="F26" s="17">
        <v>854629690</v>
      </c>
      <c r="G26" s="17">
        <v>200036633126</v>
      </c>
      <c r="H26" s="18">
        <f>Table3_25[[#This Row],[Sales Amount]]/Table3_25[[#This Row],[Net Sales (by Group Category)]]</f>
        <v>4.2723658994084446E-3</v>
      </c>
    </row>
    <row r="27" spans="1:8" x14ac:dyDescent="0.25">
      <c r="A27">
        <v>17</v>
      </c>
      <c r="B27" t="s">
        <v>15</v>
      </c>
      <c r="C27" s="16">
        <v>8</v>
      </c>
      <c r="D27" s="17">
        <v>5629</v>
      </c>
      <c r="E27" s="17">
        <v>30801</v>
      </c>
      <c r="F27" s="17">
        <v>5697939549</v>
      </c>
      <c r="G27" s="17">
        <v>204940615075</v>
      </c>
      <c r="H27" s="18">
        <f>Table3_25[[#This Row],[Sales Amount]]/Table3_25[[#This Row],[Net Sales (by Group Category)]]</f>
        <v>2.7802881078085883E-2</v>
      </c>
    </row>
    <row r="28" spans="1:8" x14ac:dyDescent="0.25">
      <c r="A28">
        <v>17</v>
      </c>
      <c r="B28" t="s">
        <v>16</v>
      </c>
      <c r="C28" s="16">
        <v>15</v>
      </c>
      <c r="D28" s="17">
        <v>5190</v>
      </c>
      <c r="E28" s="17">
        <v>35694</v>
      </c>
      <c r="F28" s="17">
        <v>4194137158</v>
      </c>
      <c r="G28" s="17">
        <v>211096621918</v>
      </c>
      <c r="H28" s="18">
        <f>Table3_25[[#This Row],[Sales Amount]]/Table3_25[[#This Row],[Net Sales (by Group Category)]]</f>
        <v>1.986832910869224E-2</v>
      </c>
    </row>
    <row r="29" spans="1:8" x14ac:dyDescent="0.25">
      <c r="A29">
        <v>17</v>
      </c>
      <c r="B29" t="s">
        <v>17</v>
      </c>
      <c r="C29" s="16">
        <v>28</v>
      </c>
      <c r="D29" s="17">
        <v>6892</v>
      </c>
      <c r="E29" s="17">
        <v>36073</v>
      </c>
      <c r="F29" s="19">
        <v>6251774297</v>
      </c>
      <c r="G29" s="17">
        <v>201529791606</v>
      </c>
      <c r="H29" s="18">
        <f>Table3_25[[#This Row],[Sales Amount]]/Table3_25[[#This Row],[Net Sales (by Group Category)]]</f>
        <v>3.1021588655351293E-2</v>
      </c>
    </row>
    <row r="30" spans="1:8" x14ac:dyDescent="0.25">
      <c r="A30">
        <v>17</v>
      </c>
      <c r="B30" t="s">
        <v>18</v>
      </c>
      <c r="C30" s="16">
        <v>14</v>
      </c>
      <c r="D30" s="17">
        <v>5447</v>
      </c>
      <c r="E30" s="17">
        <v>43195</v>
      </c>
      <c r="F30" s="19">
        <v>10292826532</v>
      </c>
      <c r="G30" s="17">
        <v>228858334162</v>
      </c>
      <c r="H30" s="18">
        <f>Table3_25[[#This Row],[Sales Amount]]/Table3_25[[#This Row],[Net Sales (by Group Category)]]</f>
        <v>4.4974663342232074E-2</v>
      </c>
    </row>
    <row r="31" spans="1:8" x14ac:dyDescent="0.25">
      <c r="A31">
        <v>17</v>
      </c>
      <c r="B31" t="s">
        <v>19</v>
      </c>
      <c r="C31" s="16">
        <v>16</v>
      </c>
      <c r="D31" s="17">
        <v>7229</v>
      </c>
      <c r="E31" s="17">
        <v>45456</v>
      </c>
      <c r="F31" s="19">
        <v>8274092142</v>
      </c>
      <c r="G31" s="17">
        <v>224991143427</v>
      </c>
      <c r="H31" s="18">
        <f>Table3_25[[#This Row],[Sales Amount]]/Table3_25[[#This Row],[Net Sales (by Group Category)]]</f>
        <v>3.6775190418482359E-2</v>
      </c>
    </row>
    <row r="32" spans="1:8" x14ac:dyDescent="0.25">
      <c r="A32">
        <v>17</v>
      </c>
      <c r="B32" t="s">
        <v>20</v>
      </c>
      <c r="C32" s="16">
        <v>15</v>
      </c>
      <c r="D32" s="17">
        <v>6145</v>
      </c>
      <c r="E32" s="17">
        <v>44141</v>
      </c>
      <c r="F32" s="17">
        <v>5624375680</v>
      </c>
      <c r="G32" s="17">
        <v>234609746616</v>
      </c>
      <c r="H32" s="18">
        <f>Table3_25[[#This Row],[Sales Amount]]/Table3_25[[#This Row],[Net Sales (by Group Category)]]</f>
        <v>2.3973324898584697E-2</v>
      </c>
    </row>
    <row r="33" spans="1:8" x14ac:dyDescent="0.25">
      <c r="A33">
        <v>17</v>
      </c>
      <c r="B33" t="s">
        <v>21</v>
      </c>
      <c r="C33" s="16">
        <v>10</v>
      </c>
      <c r="D33" s="17">
        <v>4247</v>
      </c>
      <c r="E33" s="17">
        <v>49785</v>
      </c>
      <c r="F33" s="19">
        <v>3815168193</v>
      </c>
      <c r="G33" s="17">
        <v>234591357474</v>
      </c>
      <c r="H33" s="18">
        <f>Table3_25[[#This Row],[Sales Amount]]/Table3_25[[#This Row],[Net Sales (by Group Category)]]</f>
        <v>1.6263038136103709E-2</v>
      </c>
    </row>
    <row r="34" spans="1:8" x14ac:dyDescent="0.25">
      <c r="A34">
        <v>17</v>
      </c>
      <c r="B34" t="s">
        <v>22</v>
      </c>
      <c r="C34" s="16">
        <v>1</v>
      </c>
      <c r="D34" s="17">
        <v>508</v>
      </c>
      <c r="E34" s="17">
        <v>49749</v>
      </c>
      <c r="F34" s="17">
        <v>474865320</v>
      </c>
      <c r="G34" s="17">
        <v>244021886876</v>
      </c>
      <c r="H34" s="18">
        <f>Table3_25[[#This Row],[Sales Amount]]/Table3_25[[#This Row],[Net Sales (by Group Category)]]</f>
        <v>1.9459947879236889E-3</v>
      </c>
    </row>
    <row r="35" spans="1:8" x14ac:dyDescent="0.25">
      <c r="A35">
        <v>19</v>
      </c>
      <c r="B35" t="s">
        <v>12</v>
      </c>
      <c r="C35" s="16">
        <v>4</v>
      </c>
      <c r="D35" s="17">
        <v>2958</v>
      </c>
      <c r="E35" s="17">
        <v>16089</v>
      </c>
      <c r="F35" s="19">
        <v>260620570</v>
      </c>
      <c r="G35" s="17">
        <v>14404226612</v>
      </c>
      <c r="H35" s="18">
        <f>Table3_25[[#This Row],[Sales Amount]]/Table3_25[[#This Row],[Net Sales (by Group Category)]]</f>
        <v>1.8093340032770654E-2</v>
      </c>
    </row>
    <row r="36" spans="1:8" x14ac:dyDescent="0.25">
      <c r="A36">
        <v>19</v>
      </c>
      <c r="B36" t="s">
        <v>23</v>
      </c>
      <c r="C36" s="16">
        <v>4</v>
      </c>
      <c r="D36" s="17">
        <v>2734</v>
      </c>
      <c r="E36" s="17">
        <v>27249</v>
      </c>
      <c r="F36" s="17">
        <v>550684155</v>
      </c>
      <c r="G36" s="17">
        <v>11944429770</v>
      </c>
      <c r="H36" s="18">
        <f>Table3_25[[#This Row],[Sales Amount]]/Table3_25[[#This Row],[Net Sales (by Group Category)]]</f>
        <v>4.6103846362185945E-2</v>
      </c>
    </row>
    <row r="37" spans="1:8" x14ac:dyDescent="0.25">
      <c r="A37">
        <v>19</v>
      </c>
      <c r="B37" t="s">
        <v>13</v>
      </c>
      <c r="C37" s="16">
        <v>5</v>
      </c>
      <c r="D37" s="17">
        <v>747</v>
      </c>
      <c r="E37" s="17">
        <v>56975</v>
      </c>
      <c r="F37" s="19">
        <v>119860490</v>
      </c>
      <c r="G37" s="17">
        <v>14879889210</v>
      </c>
      <c r="H37" s="18">
        <f>Table3_25[[#This Row],[Sales Amount]]/Table3_25[[#This Row],[Net Sales (by Group Category)]]</f>
        <v>8.0552004325037587E-3</v>
      </c>
    </row>
    <row r="38" spans="1:8" x14ac:dyDescent="0.25">
      <c r="A38">
        <v>19</v>
      </c>
      <c r="B38" t="s">
        <v>14</v>
      </c>
      <c r="C38" s="16">
        <v>2</v>
      </c>
      <c r="D38" s="17">
        <v>261</v>
      </c>
      <c r="E38" s="17">
        <v>24330</v>
      </c>
      <c r="F38" s="17">
        <v>42609325</v>
      </c>
      <c r="G38" s="17">
        <v>11711935716</v>
      </c>
      <c r="H38" s="18">
        <f>Table3_25[[#This Row],[Sales Amount]]/Table3_25[[#This Row],[Net Sales (by Group Category)]]</f>
        <v>3.6381112425156346E-3</v>
      </c>
    </row>
    <row r="39" spans="1:8" x14ac:dyDescent="0.25">
      <c r="A39">
        <v>19</v>
      </c>
      <c r="B39" t="s">
        <v>16</v>
      </c>
      <c r="C39" s="16">
        <v>1</v>
      </c>
      <c r="D39" s="17">
        <v>3957</v>
      </c>
      <c r="E39" s="17">
        <v>35694</v>
      </c>
      <c r="F39" s="17">
        <v>529253986</v>
      </c>
      <c r="G39" s="17">
        <v>13013421984</v>
      </c>
      <c r="H39" s="18">
        <f>Table3_25[[#This Row],[Sales Amount]]/Table3_25[[#This Row],[Net Sales (by Group Category)]]</f>
        <v>4.0669855065847992E-2</v>
      </c>
    </row>
    <row r="40" spans="1:8" x14ac:dyDescent="0.25">
      <c r="A40">
        <v>19</v>
      </c>
      <c r="B40" t="s">
        <v>19</v>
      </c>
      <c r="C40" s="16">
        <v>2</v>
      </c>
      <c r="D40" s="17">
        <v>4</v>
      </c>
      <c r="E40" s="17">
        <v>45456</v>
      </c>
      <c r="F40" s="17">
        <v>1403250</v>
      </c>
      <c r="G40" s="17">
        <v>15413693517</v>
      </c>
      <c r="H40" s="18">
        <f>Table3_25[[#This Row],[Sales Amount]]/Table3_25[[#This Row],[Net Sales (by Group Category)]]</f>
        <v>9.1039178795941018E-5</v>
      </c>
    </row>
    <row r="41" spans="1:8" x14ac:dyDescent="0.25">
      <c r="A41">
        <v>19</v>
      </c>
      <c r="B41" t="s">
        <v>20</v>
      </c>
      <c r="C41" s="16">
        <v>4</v>
      </c>
      <c r="D41" s="17">
        <v>970</v>
      </c>
      <c r="E41" s="17">
        <v>44141</v>
      </c>
      <c r="F41" s="19">
        <v>30954700</v>
      </c>
      <c r="G41" s="17">
        <v>13659019329</v>
      </c>
      <c r="H41" s="18">
        <f>Table3_25[[#This Row],[Sales Amount]]/Table3_25[[#This Row],[Net Sales (by Group Category)]]</f>
        <v>2.2662461524070665E-3</v>
      </c>
    </row>
    <row r="42" spans="1:8" x14ac:dyDescent="0.25">
      <c r="A42">
        <v>19</v>
      </c>
      <c r="B42" t="s">
        <v>21</v>
      </c>
      <c r="C42" s="16">
        <v>5</v>
      </c>
      <c r="D42" s="17">
        <v>4630</v>
      </c>
      <c r="E42" s="17">
        <v>49785</v>
      </c>
      <c r="F42" s="17">
        <v>1309687974</v>
      </c>
      <c r="G42" s="17">
        <v>14683479539</v>
      </c>
      <c r="H42" s="18">
        <f>Table3_25[[#This Row],[Sales Amount]]/Table3_25[[#This Row],[Net Sales (by Group Category)]]</f>
        <v>8.919466060625536E-2</v>
      </c>
    </row>
    <row r="43" spans="1:8" x14ac:dyDescent="0.25">
      <c r="A43">
        <v>19</v>
      </c>
      <c r="B43" t="s">
        <v>22</v>
      </c>
      <c r="C43" s="16">
        <v>4</v>
      </c>
      <c r="D43" s="17">
        <v>203</v>
      </c>
      <c r="E43" s="17">
        <v>49749</v>
      </c>
      <c r="F43" s="19">
        <v>27737800</v>
      </c>
      <c r="G43" s="17">
        <v>17337267530</v>
      </c>
      <c r="H43" s="18">
        <f>Table3_25[[#This Row],[Sales Amount]]/Table3_25[[#This Row],[Net Sales (by Group Category)]]</f>
        <v>1.5998945596244138E-3</v>
      </c>
    </row>
    <row r="44" spans="1:8" x14ac:dyDescent="0.25">
      <c r="A44">
        <v>21</v>
      </c>
      <c r="B44" t="s">
        <v>12</v>
      </c>
      <c r="C44" s="16">
        <v>5</v>
      </c>
      <c r="D44" s="17">
        <v>2933</v>
      </c>
      <c r="E44" s="17">
        <v>16089</v>
      </c>
      <c r="F44" s="19">
        <v>3080667820</v>
      </c>
      <c r="G44" s="17">
        <v>78627787880</v>
      </c>
      <c r="H44" s="18">
        <f>Table3_25[[#This Row],[Sales Amount]]/Table3_25[[#This Row],[Net Sales (by Group Category)]]</f>
        <v>3.9180395418241289E-2</v>
      </c>
    </row>
    <row r="45" spans="1:8" x14ac:dyDescent="0.25">
      <c r="A45">
        <v>21</v>
      </c>
      <c r="B45" t="s">
        <v>23</v>
      </c>
      <c r="C45" s="16">
        <v>5</v>
      </c>
      <c r="D45" s="17">
        <v>2012</v>
      </c>
      <c r="E45" s="17">
        <v>27249</v>
      </c>
      <c r="F45" s="17">
        <v>1554282780</v>
      </c>
      <c r="G45" s="17">
        <v>77602515840</v>
      </c>
      <c r="H45" s="18">
        <f>Table3_25[[#This Row],[Sales Amount]]/Table3_25[[#This Row],[Net Sales (by Group Category)]]</f>
        <v>2.0028767922996245E-2</v>
      </c>
    </row>
    <row r="46" spans="1:8" x14ac:dyDescent="0.25">
      <c r="A46">
        <v>21</v>
      </c>
      <c r="B46" t="s">
        <v>13</v>
      </c>
      <c r="C46" s="16">
        <v>5</v>
      </c>
      <c r="D46" s="17">
        <v>12226</v>
      </c>
      <c r="E46" s="17">
        <v>56975</v>
      </c>
      <c r="F46" s="17">
        <v>13150782677</v>
      </c>
      <c r="G46" s="17">
        <v>80736046069</v>
      </c>
      <c r="H46" s="18">
        <f>Table3_25[[#This Row],[Sales Amount]]/Table3_25[[#This Row],[Net Sales (by Group Category)]]</f>
        <v>0.16288613720023962</v>
      </c>
    </row>
    <row r="47" spans="1:8" x14ac:dyDescent="0.25">
      <c r="A47">
        <v>21</v>
      </c>
      <c r="B47" t="s">
        <v>14</v>
      </c>
      <c r="C47" s="16">
        <v>2</v>
      </c>
      <c r="D47" s="17">
        <v>4323</v>
      </c>
      <c r="E47" s="17">
        <v>24330</v>
      </c>
      <c r="F47" s="19">
        <v>1864299310</v>
      </c>
      <c r="G47" s="17">
        <v>73234100522</v>
      </c>
      <c r="H47" s="18">
        <f>Table3_25[[#This Row],[Sales Amount]]/Table3_25[[#This Row],[Net Sales (by Group Category)]]</f>
        <v>2.5456710695039565E-2</v>
      </c>
    </row>
    <row r="48" spans="1:8" x14ac:dyDescent="0.25">
      <c r="A48">
        <v>21</v>
      </c>
      <c r="B48" t="s">
        <v>15</v>
      </c>
      <c r="C48" s="16">
        <v>4</v>
      </c>
      <c r="D48" s="17">
        <v>890</v>
      </c>
      <c r="E48" s="17">
        <v>30801</v>
      </c>
      <c r="F48" s="19">
        <v>474919505</v>
      </c>
      <c r="G48" s="17">
        <v>78136844291</v>
      </c>
      <c r="H48" s="18">
        <f>Table3_25[[#This Row],[Sales Amount]]/Table3_25[[#This Row],[Net Sales (by Group Category)]]</f>
        <v>6.0780481898051577E-3</v>
      </c>
    </row>
    <row r="49" spans="1:8" x14ac:dyDescent="0.25">
      <c r="A49">
        <v>21</v>
      </c>
      <c r="B49" t="s">
        <v>16</v>
      </c>
      <c r="C49" s="16">
        <v>5</v>
      </c>
      <c r="D49" s="17">
        <v>2377</v>
      </c>
      <c r="E49" s="17">
        <v>35694</v>
      </c>
      <c r="F49" s="19">
        <v>1452933644</v>
      </c>
      <c r="G49" s="17">
        <v>70298551984</v>
      </c>
      <c r="H49" s="18">
        <f>Table3_25[[#This Row],[Sales Amount]]/Table3_25[[#This Row],[Net Sales (by Group Category)]]</f>
        <v>2.0668045116074209E-2</v>
      </c>
    </row>
    <row r="50" spans="1:8" x14ac:dyDescent="0.25">
      <c r="A50">
        <v>21</v>
      </c>
      <c r="B50" t="s">
        <v>17</v>
      </c>
      <c r="C50" s="16">
        <v>4</v>
      </c>
      <c r="D50" s="17">
        <v>15422</v>
      </c>
      <c r="E50" s="17">
        <v>36073</v>
      </c>
      <c r="F50" s="17">
        <v>10837775625</v>
      </c>
      <c r="G50" s="17">
        <v>74495933806</v>
      </c>
      <c r="H50" s="18">
        <f>Table3_25[[#This Row],[Sales Amount]]/Table3_25[[#This Row],[Net Sales (by Group Category)]]</f>
        <v>0.14548143866782581</v>
      </c>
    </row>
    <row r="51" spans="1:8" x14ac:dyDescent="0.25">
      <c r="A51">
        <v>21</v>
      </c>
      <c r="B51" t="s">
        <v>18</v>
      </c>
      <c r="C51" s="16">
        <v>1</v>
      </c>
      <c r="D51" s="17">
        <v>600</v>
      </c>
      <c r="E51" s="17">
        <v>43195</v>
      </c>
      <c r="F51" s="17">
        <v>197099750</v>
      </c>
      <c r="G51" s="17">
        <v>67164485111</v>
      </c>
      <c r="H51" s="18">
        <f>Table3_25[[#This Row],[Sales Amount]]/Table3_25[[#This Row],[Net Sales (by Group Category)]]</f>
        <v>2.9345829075330706E-3</v>
      </c>
    </row>
    <row r="52" spans="1:8" x14ac:dyDescent="0.25">
      <c r="A52">
        <v>21</v>
      </c>
      <c r="B52" t="s">
        <v>19</v>
      </c>
      <c r="C52" s="16">
        <v>6</v>
      </c>
      <c r="D52" s="17">
        <v>1936</v>
      </c>
      <c r="E52" s="17">
        <v>45456</v>
      </c>
      <c r="F52" s="17">
        <v>570252600</v>
      </c>
      <c r="G52" s="17">
        <v>79794817907</v>
      </c>
      <c r="H52" s="18">
        <f>Table3_25[[#This Row],[Sales Amount]]/Table3_25[[#This Row],[Net Sales (by Group Category)]]</f>
        <v>7.1464866385762453E-3</v>
      </c>
    </row>
    <row r="53" spans="1:8" x14ac:dyDescent="0.25">
      <c r="A53">
        <v>21</v>
      </c>
      <c r="B53" t="s">
        <v>20</v>
      </c>
      <c r="C53" s="16">
        <v>3</v>
      </c>
      <c r="D53" s="17">
        <v>1153</v>
      </c>
      <c r="E53" s="17">
        <v>44141</v>
      </c>
      <c r="F53" s="19">
        <v>467124160</v>
      </c>
      <c r="G53" s="17">
        <v>79335181195</v>
      </c>
      <c r="H53" s="18">
        <f>Table3_25[[#This Row],[Sales Amount]]/Table3_25[[#This Row],[Net Sales (by Group Category)]]</f>
        <v>5.8879825187749101E-3</v>
      </c>
    </row>
    <row r="54" spans="1:8" x14ac:dyDescent="0.25">
      <c r="A54">
        <v>21</v>
      </c>
      <c r="B54" t="s">
        <v>21</v>
      </c>
      <c r="C54" s="16">
        <v>3</v>
      </c>
      <c r="D54" s="17">
        <v>1975</v>
      </c>
      <c r="E54" s="17">
        <v>49785</v>
      </c>
      <c r="F54" s="17">
        <v>914643285</v>
      </c>
      <c r="G54" s="17">
        <v>90610409272</v>
      </c>
      <c r="H54" s="18">
        <f>Table3_25[[#This Row],[Sales Amount]]/Table3_25[[#This Row],[Net Sales (by Group Category)]]</f>
        <v>1.0094240742852915E-2</v>
      </c>
    </row>
    <row r="55" spans="1:8" x14ac:dyDescent="0.25">
      <c r="A55">
        <v>21</v>
      </c>
      <c r="B55" t="s">
        <v>22</v>
      </c>
      <c r="C55" s="16">
        <v>1</v>
      </c>
      <c r="D55" s="17">
        <v>1294</v>
      </c>
      <c r="E55" s="17">
        <v>49749</v>
      </c>
      <c r="F55" s="19">
        <v>1177518800</v>
      </c>
      <c r="G55" s="17">
        <v>87939652673</v>
      </c>
      <c r="H55" s="18">
        <f>Table3_25[[#This Row],[Sales Amount]]/Table3_25[[#This Row],[Net Sales (by Group Category)]]</f>
        <v>1.3390077902383302E-2</v>
      </c>
    </row>
    <row r="56" spans="1:8" x14ac:dyDescent="0.25">
      <c r="A56">
        <v>26</v>
      </c>
      <c r="B56" t="s">
        <v>12</v>
      </c>
      <c r="C56" s="16">
        <v>4</v>
      </c>
      <c r="D56" s="17">
        <v>3763</v>
      </c>
      <c r="E56" s="17">
        <v>16089</v>
      </c>
      <c r="F56" s="17">
        <v>2212755271</v>
      </c>
      <c r="G56" s="17">
        <v>80615541990</v>
      </c>
      <c r="H56" s="18">
        <f>Table3_25[[#This Row],[Sales Amount]]/Table3_25[[#This Row],[Net Sales (by Group Category)]]</f>
        <v>2.7448246533831933E-2</v>
      </c>
    </row>
    <row r="57" spans="1:8" x14ac:dyDescent="0.25">
      <c r="A57">
        <v>26</v>
      </c>
      <c r="B57" t="s">
        <v>23</v>
      </c>
      <c r="C57" s="16">
        <v>7</v>
      </c>
      <c r="D57" s="17">
        <v>7114</v>
      </c>
      <c r="E57" s="17">
        <v>27249</v>
      </c>
      <c r="F57" s="19">
        <v>4434279613</v>
      </c>
      <c r="G57" s="17">
        <v>91163614719</v>
      </c>
      <c r="H57" s="18">
        <f>Table3_25[[#This Row],[Sales Amount]]/Table3_25[[#This Row],[Net Sales (by Group Category)]]</f>
        <v>4.8640892824051471E-2</v>
      </c>
    </row>
    <row r="58" spans="1:8" x14ac:dyDescent="0.25">
      <c r="A58">
        <v>26</v>
      </c>
      <c r="B58" t="s">
        <v>13</v>
      </c>
      <c r="C58" s="16">
        <v>6</v>
      </c>
      <c r="D58" s="17">
        <v>17578</v>
      </c>
      <c r="E58" s="17">
        <v>56975</v>
      </c>
      <c r="F58" s="19">
        <v>16668039370</v>
      </c>
      <c r="G58" s="17">
        <v>120441757861</v>
      </c>
      <c r="H58" s="18">
        <f>Table3_25[[#This Row],[Sales Amount]]/Table3_25[[#This Row],[Net Sales (by Group Category)]]</f>
        <v>0.13839086763609287</v>
      </c>
    </row>
    <row r="59" spans="1:8" x14ac:dyDescent="0.25">
      <c r="A59">
        <v>26</v>
      </c>
      <c r="B59" t="s">
        <v>14</v>
      </c>
      <c r="C59" s="16">
        <v>3</v>
      </c>
      <c r="D59" s="17">
        <v>1987</v>
      </c>
      <c r="E59" s="17">
        <v>24330</v>
      </c>
      <c r="F59" s="19">
        <v>2695961996</v>
      </c>
      <c r="G59" s="17">
        <v>89675780172</v>
      </c>
      <c r="H59" s="18">
        <f>Table3_25[[#This Row],[Sales Amount]]/Table3_25[[#This Row],[Net Sales (by Group Category)]]</f>
        <v>3.0063435086141309E-2</v>
      </c>
    </row>
    <row r="60" spans="1:8" x14ac:dyDescent="0.25">
      <c r="A60">
        <v>26</v>
      </c>
      <c r="B60" t="s">
        <v>15</v>
      </c>
      <c r="C60" s="16">
        <v>6</v>
      </c>
      <c r="D60" s="17">
        <v>23063</v>
      </c>
      <c r="E60" s="17">
        <v>30801</v>
      </c>
      <c r="F60" s="17">
        <v>43210336462</v>
      </c>
      <c r="G60" s="17">
        <v>114386218620</v>
      </c>
      <c r="H60" s="18">
        <f>Table3_25[[#This Row],[Sales Amount]]/Table3_25[[#This Row],[Net Sales (by Group Category)]]</f>
        <v>0.3777582385649807</v>
      </c>
    </row>
    <row r="61" spans="1:8" x14ac:dyDescent="0.25">
      <c r="A61">
        <v>26</v>
      </c>
      <c r="B61" t="s">
        <v>16</v>
      </c>
      <c r="C61" s="16">
        <v>13</v>
      </c>
      <c r="D61" s="17">
        <v>22323</v>
      </c>
      <c r="E61" s="17">
        <v>35694</v>
      </c>
      <c r="F61" s="17">
        <v>42174087182</v>
      </c>
      <c r="G61" s="17">
        <v>91652291687</v>
      </c>
      <c r="H61" s="18">
        <f>Table3_25[[#This Row],[Sales Amount]]/Table3_25[[#This Row],[Net Sales (by Group Category)]]</f>
        <v>0.46015311134857295</v>
      </c>
    </row>
    <row r="62" spans="1:8" x14ac:dyDescent="0.25">
      <c r="A62">
        <v>26</v>
      </c>
      <c r="B62" t="s">
        <v>17</v>
      </c>
      <c r="C62" s="16">
        <v>4</v>
      </c>
      <c r="D62" s="17">
        <v>8414</v>
      </c>
      <c r="E62" s="17">
        <v>36073</v>
      </c>
      <c r="F62" s="19">
        <v>22307965340</v>
      </c>
      <c r="G62" s="17">
        <v>96023107400</v>
      </c>
      <c r="H62" s="18">
        <f>Table3_25[[#This Row],[Sales Amount]]/Table3_25[[#This Row],[Net Sales (by Group Category)]]</f>
        <v>0.23231871935858639</v>
      </c>
    </row>
    <row r="63" spans="1:8" x14ac:dyDescent="0.25">
      <c r="A63">
        <v>26</v>
      </c>
      <c r="B63" t="s">
        <v>18</v>
      </c>
      <c r="C63" s="16">
        <v>4</v>
      </c>
      <c r="D63" s="17">
        <v>1784</v>
      </c>
      <c r="E63" s="17">
        <v>43195</v>
      </c>
      <c r="F63" s="17">
        <v>2567840416</v>
      </c>
      <c r="G63" s="17">
        <v>97610289115</v>
      </c>
      <c r="H63" s="18">
        <f>Table3_25[[#This Row],[Sales Amount]]/Table3_25[[#This Row],[Net Sales (by Group Category)]]</f>
        <v>2.6307067003711947E-2</v>
      </c>
    </row>
    <row r="64" spans="1:8" x14ac:dyDescent="0.25">
      <c r="A64">
        <v>26</v>
      </c>
      <c r="B64" t="s">
        <v>19</v>
      </c>
      <c r="C64" s="16">
        <v>5</v>
      </c>
      <c r="D64" s="17">
        <v>4053</v>
      </c>
      <c r="E64" s="17">
        <v>45456</v>
      </c>
      <c r="F64" s="19">
        <v>1575806346</v>
      </c>
      <c r="G64" s="17">
        <v>97548746375</v>
      </c>
      <c r="H64" s="18">
        <f>Table3_25[[#This Row],[Sales Amount]]/Table3_25[[#This Row],[Net Sales (by Group Category)]]</f>
        <v>1.6154039949854763E-2</v>
      </c>
    </row>
    <row r="65" spans="1:8" x14ac:dyDescent="0.25">
      <c r="A65">
        <v>26</v>
      </c>
      <c r="B65" t="s">
        <v>20</v>
      </c>
      <c r="C65" s="16">
        <v>4</v>
      </c>
      <c r="D65" s="17">
        <v>1168</v>
      </c>
      <c r="E65" s="17">
        <v>44141</v>
      </c>
      <c r="F65" s="17">
        <v>745789026</v>
      </c>
      <c r="G65" s="17">
        <v>117500522840</v>
      </c>
      <c r="H65" s="18">
        <f>Table3_25[[#This Row],[Sales Amount]]/Table3_25[[#This Row],[Net Sales (by Group Category)]]</f>
        <v>6.3471124040489421E-3</v>
      </c>
    </row>
    <row r="66" spans="1:8" x14ac:dyDescent="0.25">
      <c r="A66">
        <v>26</v>
      </c>
      <c r="B66" t="s">
        <v>21</v>
      </c>
      <c r="C66" s="16">
        <v>2</v>
      </c>
      <c r="D66" s="17">
        <v>818</v>
      </c>
      <c r="E66" s="17">
        <v>49785</v>
      </c>
      <c r="F66" s="19">
        <v>1112220690</v>
      </c>
      <c r="G66" s="17">
        <v>104379933925</v>
      </c>
      <c r="H66" s="18">
        <f>Table3_25[[#This Row],[Sales Amount]]/Table3_25[[#This Row],[Net Sales (by Group Category)]]</f>
        <v>1.0655502913032716E-2</v>
      </c>
    </row>
    <row r="67" spans="1:8" x14ac:dyDescent="0.25">
      <c r="A67">
        <v>27</v>
      </c>
      <c r="B67" t="s">
        <v>12</v>
      </c>
      <c r="C67" s="16">
        <v>3</v>
      </c>
      <c r="D67" s="17">
        <v>201</v>
      </c>
      <c r="E67" s="17">
        <v>16089</v>
      </c>
      <c r="F67" s="19">
        <v>41496400</v>
      </c>
      <c r="G67" s="17">
        <v>41214229368</v>
      </c>
      <c r="H67" s="18">
        <f>Table3_25[[#This Row],[Sales Amount]]/Table3_25[[#This Row],[Net Sales (by Group Category)]]</f>
        <v>1.0068464371729606E-3</v>
      </c>
    </row>
    <row r="68" spans="1:8" x14ac:dyDescent="0.25">
      <c r="A68">
        <v>27</v>
      </c>
      <c r="B68" t="s">
        <v>23</v>
      </c>
      <c r="C68" s="16">
        <v>3</v>
      </c>
      <c r="D68" s="17">
        <v>1939</v>
      </c>
      <c r="E68" s="17">
        <v>27249</v>
      </c>
      <c r="F68" s="17">
        <v>412744527</v>
      </c>
      <c r="G68" s="17">
        <v>81055387234</v>
      </c>
      <c r="H68" s="18">
        <f>Table3_25[[#This Row],[Sales Amount]]/Table3_25[[#This Row],[Net Sales (by Group Category)]]</f>
        <v>5.0921294818867709E-3</v>
      </c>
    </row>
    <row r="69" spans="1:8" x14ac:dyDescent="0.25">
      <c r="A69">
        <v>27</v>
      </c>
      <c r="B69" t="s">
        <v>13</v>
      </c>
      <c r="C69" s="16">
        <v>3</v>
      </c>
      <c r="D69" s="17">
        <v>245</v>
      </c>
      <c r="E69" s="17">
        <v>56975</v>
      </c>
      <c r="F69" s="17">
        <v>67687600</v>
      </c>
      <c r="G69" s="17">
        <v>102477795403</v>
      </c>
      <c r="H69" s="18">
        <f>Table3_25[[#This Row],[Sales Amount]]/Table3_25[[#This Row],[Net Sales (by Group Category)]]</f>
        <v>6.6050991567309289E-4</v>
      </c>
    </row>
    <row r="70" spans="1:8" x14ac:dyDescent="0.25">
      <c r="A70">
        <v>27</v>
      </c>
      <c r="B70" t="s">
        <v>14</v>
      </c>
      <c r="C70" s="16">
        <v>2</v>
      </c>
      <c r="D70" s="17">
        <v>3002</v>
      </c>
      <c r="E70" s="17">
        <v>24330</v>
      </c>
      <c r="F70" s="17">
        <v>587386386</v>
      </c>
      <c r="G70" s="17">
        <v>16955870667</v>
      </c>
      <c r="H70" s="18">
        <f>Table3_25[[#This Row],[Sales Amount]]/Table3_25[[#This Row],[Net Sales (by Group Category)]]</f>
        <v>3.464206572082365E-2</v>
      </c>
    </row>
    <row r="71" spans="1:8" x14ac:dyDescent="0.25">
      <c r="A71">
        <v>27</v>
      </c>
      <c r="B71" t="s">
        <v>15</v>
      </c>
      <c r="C71" s="16">
        <v>4</v>
      </c>
      <c r="D71" s="17">
        <v>2988</v>
      </c>
      <c r="E71" s="17">
        <v>30801</v>
      </c>
      <c r="F71" s="19">
        <v>960846479</v>
      </c>
      <c r="G71" s="17">
        <v>19249561761</v>
      </c>
      <c r="H71" s="18">
        <f>Table3_25[[#This Row],[Sales Amount]]/Table3_25[[#This Row],[Net Sales (by Group Category)]]</f>
        <v>4.9915239158674997E-2</v>
      </c>
    </row>
    <row r="72" spans="1:8" x14ac:dyDescent="0.25">
      <c r="A72">
        <v>27</v>
      </c>
      <c r="B72" t="s">
        <v>16</v>
      </c>
      <c r="C72" s="16">
        <v>4</v>
      </c>
      <c r="D72" s="17">
        <v>3008</v>
      </c>
      <c r="E72" s="17">
        <v>35694</v>
      </c>
      <c r="F72" s="19">
        <v>919340440</v>
      </c>
      <c r="G72" s="17">
        <v>19533083163</v>
      </c>
      <c r="H72" s="18">
        <f>Table3_25[[#This Row],[Sales Amount]]/Table3_25[[#This Row],[Net Sales (by Group Category)]]</f>
        <v>4.7065813027481244E-2</v>
      </c>
    </row>
    <row r="73" spans="1:8" x14ac:dyDescent="0.25">
      <c r="A73">
        <v>27</v>
      </c>
      <c r="B73" t="s">
        <v>17</v>
      </c>
      <c r="C73" s="16">
        <v>3</v>
      </c>
      <c r="D73" s="17">
        <v>1675</v>
      </c>
      <c r="E73" s="17">
        <v>36073</v>
      </c>
      <c r="F73" s="17">
        <v>355292073</v>
      </c>
      <c r="G73" s="17">
        <v>19535810881</v>
      </c>
      <c r="H73" s="18">
        <f>Table3_25[[#This Row],[Sales Amount]]/Table3_25[[#This Row],[Net Sales (by Group Category)]]</f>
        <v>1.8186707230338078E-2</v>
      </c>
    </row>
    <row r="74" spans="1:8" x14ac:dyDescent="0.25">
      <c r="A74">
        <v>27</v>
      </c>
      <c r="B74" t="s">
        <v>19</v>
      </c>
      <c r="C74" s="16">
        <v>4</v>
      </c>
      <c r="D74" s="17">
        <v>1431</v>
      </c>
      <c r="E74" s="17">
        <v>45456</v>
      </c>
      <c r="F74" s="17">
        <v>313603340</v>
      </c>
      <c r="G74" s="17">
        <v>18937775543</v>
      </c>
      <c r="H74" s="18">
        <f>Table3_25[[#This Row],[Sales Amount]]/Table3_25[[#This Row],[Net Sales (by Group Category)]]</f>
        <v>1.6559671397938694E-2</v>
      </c>
    </row>
    <row r="75" spans="1:8" x14ac:dyDescent="0.25">
      <c r="A75">
        <v>27</v>
      </c>
      <c r="B75" t="s">
        <v>20</v>
      </c>
      <c r="C75" s="16">
        <v>5</v>
      </c>
      <c r="D75" s="17">
        <v>1952</v>
      </c>
      <c r="E75" s="17">
        <v>44141</v>
      </c>
      <c r="F75" s="19">
        <v>368816726</v>
      </c>
      <c r="G75" s="17">
        <v>22663953139</v>
      </c>
      <c r="H75" s="18">
        <f>Table3_25[[#This Row],[Sales Amount]]/Table3_25[[#This Row],[Net Sales (by Group Category)]]</f>
        <v>1.6273274293236262E-2</v>
      </c>
    </row>
    <row r="76" spans="1:8" x14ac:dyDescent="0.25">
      <c r="A76">
        <v>27</v>
      </c>
      <c r="B76" t="s">
        <v>21</v>
      </c>
      <c r="C76" s="16">
        <v>1</v>
      </c>
      <c r="D76" s="17">
        <v>1154</v>
      </c>
      <c r="E76" s="17">
        <v>49785</v>
      </c>
      <c r="F76" s="17">
        <v>204599560</v>
      </c>
      <c r="G76" s="17">
        <v>19420632369</v>
      </c>
      <c r="H76" s="18">
        <f>Table3_25[[#This Row],[Sales Amount]]/Table3_25[[#This Row],[Net Sales (by Group Category)]]</f>
        <v>1.0535164669848244E-2</v>
      </c>
    </row>
    <row r="77" spans="1:8" x14ac:dyDescent="0.25">
      <c r="A77">
        <v>27</v>
      </c>
      <c r="B77" t="s">
        <v>22</v>
      </c>
      <c r="C77" s="16">
        <v>1</v>
      </c>
      <c r="D77" s="17">
        <v>1102</v>
      </c>
      <c r="E77" s="17">
        <v>49749</v>
      </c>
      <c r="F77" s="19">
        <v>281951870</v>
      </c>
      <c r="G77" s="17">
        <v>28641031706</v>
      </c>
      <c r="H77" s="18">
        <f>Table3_25[[#This Row],[Sales Amount]]/Table3_25[[#This Row],[Net Sales (by Group Category)]]</f>
        <v>9.8443335733933782E-3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9854-93DA-4EB3-819E-F5911A0E0AE9}">
  <dimension ref="A1:H8"/>
  <sheetViews>
    <sheetView workbookViewId="0">
      <selection activeCell="B4" sqref="B4"/>
    </sheetView>
  </sheetViews>
  <sheetFormatPr defaultRowHeight="15" x14ac:dyDescent="0.25"/>
  <cols>
    <col min="1" max="1" width="11.140625" bestFit="1" customWidth="1"/>
    <col min="2" max="2" width="16" bestFit="1" customWidth="1"/>
    <col min="3" max="3" width="7.5703125" bestFit="1" customWidth="1"/>
    <col min="4" max="4" width="16.42578125" bestFit="1" customWidth="1"/>
    <col min="5" max="5" width="15.5703125" bestFit="1" customWidth="1"/>
    <col min="6" max="6" width="16.42578125" bestFit="1" customWidth="1"/>
    <col min="7" max="7" width="30.42578125" bestFit="1" customWidth="1"/>
    <col min="8" max="8" width="32.85546875" bestFit="1" customWidth="1"/>
  </cols>
  <sheetData>
    <row r="1" spans="1:8" x14ac:dyDescent="0.25">
      <c r="A1" s="1" t="s">
        <v>0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</v>
      </c>
      <c r="H1" s="3" t="s">
        <v>6</v>
      </c>
    </row>
    <row r="2" spans="1:8" x14ac:dyDescent="0.25">
      <c r="A2" s="4">
        <v>11</v>
      </c>
      <c r="B2" s="5">
        <v>27</v>
      </c>
      <c r="C2" s="5">
        <v>7983</v>
      </c>
      <c r="D2" s="5">
        <v>257418</v>
      </c>
      <c r="E2" s="5">
        <v>4045355485</v>
      </c>
      <c r="F2" s="6">
        <v>699225640148</v>
      </c>
      <c r="G2" s="11"/>
      <c r="H2" s="7">
        <f>E2/F2</f>
        <v>5.7854793255918777E-3</v>
      </c>
    </row>
    <row r="3" spans="1:8" x14ac:dyDescent="0.25">
      <c r="A3" s="4">
        <v>17</v>
      </c>
      <c r="B3" s="5">
        <v>110</v>
      </c>
      <c r="C3" s="5">
        <v>44497</v>
      </c>
      <c r="D3" s="5">
        <v>257418</v>
      </c>
      <c r="E3" s="5">
        <v>47074516663</v>
      </c>
      <c r="F3" s="5">
        <v>316640453670</v>
      </c>
      <c r="G3" s="12">
        <v>2407123344320</v>
      </c>
      <c r="H3" s="7">
        <f>E3/F3</f>
        <v>0.14866867488782928</v>
      </c>
    </row>
    <row r="4" spans="1:8" x14ac:dyDescent="0.25">
      <c r="A4" s="4">
        <v>19</v>
      </c>
      <c r="B4" s="5">
        <v>31</v>
      </c>
      <c r="C4" s="5">
        <v>16464</v>
      </c>
      <c r="D4" s="5">
        <v>257418</v>
      </c>
      <c r="E4" s="5">
        <v>2872812250</v>
      </c>
      <c r="F4" s="5">
        <v>165140408985</v>
      </c>
      <c r="G4" s="12"/>
      <c r="H4" s="7">
        <f>E4/F4</f>
        <v>1.7396179818477638E-2</v>
      </c>
    </row>
    <row r="5" spans="1:8" x14ac:dyDescent="0.25">
      <c r="A5" s="4">
        <v>21</v>
      </c>
      <c r="B5" s="5">
        <v>44</v>
      </c>
      <c r="C5" s="5">
        <v>47141</v>
      </c>
      <c r="D5" s="5">
        <v>257418</v>
      </c>
      <c r="E5" s="5">
        <v>35742299956</v>
      </c>
      <c r="F5" s="5">
        <v>937981853149</v>
      </c>
      <c r="G5" s="12"/>
      <c r="H5" s="7">
        <f>E5/F5</f>
        <v>3.8105534596437736E-2</v>
      </c>
    </row>
    <row r="6" spans="1:8" x14ac:dyDescent="0.25">
      <c r="A6" s="4">
        <v>26</v>
      </c>
      <c r="B6" s="5">
        <v>58</v>
      </c>
      <c r="C6" s="5">
        <v>92065</v>
      </c>
      <c r="D6" s="5">
        <v>257418</v>
      </c>
      <c r="E6" s="5">
        <v>139705081712</v>
      </c>
      <c r="F6" s="5">
        <v>1206807818656</v>
      </c>
      <c r="G6" s="12"/>
      <c r="H6" s="7">
        <f>E6/F6</f>
        <v>0.11576415030819656</v>
      </c>
    </row>
    <row r="7" spans="1:8" x14ac:dyDescent="0.25">
      <c r="A7" s="4">
        <v>27</v>
      </c>
      <c r="B7" s="5">
        <v>33</v>
      </c>
      <c r="C7" s="5">
        <v>18697</v>
      </c>
      <c r="D7" s="5">
        <v>257418</v>
      </c>
      <c r="E7" s="5">
        <v>4513765401</v>
      </c>
      <c r="F7" s="5">
        <v>409017620987</v>
      </c>
      <c r="G7" s="12"/>
      <c r="H7" s="7">
        <f>E7/F7</f>
        <v>1.103562577599429E-2</v>
      </c>
    </row>
    <row r="8" spans="1:8" x14ac:dyDescent="0.25">
      <c r="A8" s="8">
        <v>14</v>
      </c>
      <c r="B8" s="9">
        <v>106</v>
      </c>
      <c r="C8" s="9">
        <v>299802</v>
      </c>
      <c r="D8" s="9">
        <v>257418</v>
      </c>
      <c r="E8" s="9">
        <v>105761582006</v>
      </c>
      <c r="F8" s="9">
        <v>506676274921</v>
      </c>
      <c r="G8" s="13"/>
      <c r="H8" s="10">
        <f>E8/F8</f>
        <v>0.2087360060869046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9967-369C-43DC-9F04-E859A9DF4890}">
  <dimension ref="A1:I77"/>
  <sheetViews>
    <sheetView tabSelected="1" topLeftCell="A22" zoomScaleNormal="100" workbookViewId="0">
      <selection activeCell="C31" sqref="C31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2.7109375" bestFit="1" customWidth="1"/>
    <col min="4" max="4" width="7.28515625" bestFit="1" customWidth="1"/>
    <col min="5" max="5" width="16.42578125" bestFit="1" customWidth="1"/>
    <col min="6" max="6" width="15.5703125" bestFit="1" customWidth="1"/>
    <col min="7" max="7" width="17.28515625" bestFit="1" customWidth="1"/>
    <col min="8" max="8" width="30.42578125" bestFit="1" customWidth="1"/>
    <col min="9" max="9" width="17.5703125" bestFit="1" customWidth="1"/>
  </cols>
  <sheetData>
    <row r="1" spans="1:9" x14ac:dyDescent="0.25">
      <c r="A1" t="s">
        <v>0</v>
      </c>
      <c r="B1" t="s">
        <v>9</v>
      </c>
      <c r="C1" t="s">
        <v>8</v>
      </c>
      <c r="D1" t="s">
        <v>2</v>
      </c>
      <c r="E1" t="s">
        <v>3</v>
      </c>
      <c r="F1" s="14" t="s">
        <v>4</v>
      </c>
      <c r="G1" t="s">
        <v>5</v>
      </c>
      <c r="H1" s="15" t="s">
        <v>10</v>
      </c>
      <c r="I1" t="s">
        <v>11</v>
      </c>
    </row>
    <row r="2" spans="1:9" x14ac:dyDescent="0.25">
      <c r="A2">
        <v>11</v>
      </c>
      <c r="B2" t="s">
        <v>12</v>
      </c>
      <c r="C2" s="16">
        <v>3</v>
      </c>
      <c r="D2" s="17">
        <v>886</v>
      </c>
      <c r="E2" s="17">
        <v>16089</v>
      </c>
      <c r="F2" s="17">
        <v>164643170</v>
      </c>
      <c r="G2" s="17">
        <v>50251369246</v>
      </c>
      <c r="H2" s="20"/>
      <c r="I2" s="18">
        <f>Table3_2[[#This Row],[Sales Amount]]/Table3_2[[#This Row],[Net Sales (by Group Category)]]</f>
        <v>3.2763917176864901E-3</v>
      </c>
    </row>
    <row r="3" spans="1:9" x14ac:dyDescent="0.25">
      <c r="A3">
        <v>11</v>
      </c>
      <c r="B3" t="s">
        <v>13</v>
      </c>
      <c r="C3" s="16">
        <v>1</v>
      </c>
      <c r="D3" s="17">
        <v>116</v>
      </c>
      <c r="E3" s="17">
        <v>56975</v>
      </c>
      <c r="F3" s="19">
        <v>49955700</v>
      </c>
      <c r="G3" s="17">
        <v>282998252946</v>
      </c>
      <c r="H3" s="20"/>
      <c r="I3" s="18">
        <f>Table3_2[[#This Row],[Sales Amount]]/Table3_2[[#This Row],[Net Sales (by Group Category)]]</f>
        <v>1.7652299786293112E-4</v>
      </c>
    </row>
    <row r="4" spans="1:9" x14ac:dyDescent="0.25">
      <c r="A4">
        <v>11</v>
      </c>
      <c r="B4" t="s">
        <v>14</v>
      </c>
      <c r="C4" s="16">
        <v>1</v>
      </c>
      <c r="D4" s="17">
        <v>27</v>
      </c>
      <c r="E4" s="17">
        <v>24330</v>
      </c>
      <c r="F4" s="19">
        <v>14078200</v>
      </c>
      <c r="G4" s="17">
        <v>18828002806</v>
      </c>
      <c r="H4" s="20"/>
      <c r="I4" s="18">
        <f>Table3_2[[#This Row],[Sales Amount]]/Table3_2[[#This Row],[Net Sales (by Group Category)]]</f>
        <v>7.477266784511865E-4</v>
      </c>
    </row>
    <row r="5" spans="1:9" x14ac:dyDescent="0.25">
      <c r="A5">
        <v>11</v>
      </c>
      <c r="B5" t="s">
        <v>15</v>
      </c>
      <c r="C5" s="16">
        <v>2</v>
      </c>
      <c r="D5" s="17">
        <v>235</v>
      </c>
      <c r="E5" s="17">
        <v>30801</v>
      </c>
      <c r="F5" s="17">
        <v>160646135</v>
      </c>
      <c r="G5" s="17">
        <v>19762732697</v>
      </c>
      <c r="H5" s="20"/>
      <c r="I5" s="18">
        <f>Table3_2[[#This Row],[Sales Amount]]/Table3_2[[#This Row],[Net Sales (by Group Category)]]</f>
        <v>8.1287409723649305E-3</v>
      </c>
    </row>
    <row r="6" spans="1:9" x14ac:dyDescent="0.25">
      <c r="A6">
        <v>11</v>
      </c>
      <c r="B6" t="s">
        <v>16</v>
      </c>
      <c r="C6" s="16">
        <v>4</v>
      </c>
      <c r="D6" s="17">
        <v>438</v>
      </c>
      <c r="E6" s="17">
        <v>35694</v>
      </c>
      <c r="F6" s="17">
        <v>181008815</v>
      </c>
      <c r="G6" s="17">
        <v>22078826942</v>
      </c>
      <c r="H6" s="20"/>
      <c r="I6" s="18">
        <f>Table3_2[[#This Row],[Sales Amount]]/Table3_2[[#This Row],[Net Sales (by Group Category)]]</f>
        <v>8.1982985543344912E-3</v>
      </c>
    </row>
    <row r="7" spans="1:9" x14ac:dyDescent="0.25">
      <c r="A7">
        <v>11</v>
      </c>
      <c r="B7" t="s">
        <v>17</v>
      </c>
      <c r="C7" s="16">
        <v>3</v>
      </c>
      <c r="D7" s="17">
        <v>455</v>
      </c>
      <c r="E7" s="17">
        <v>36073</v>
      </c>
      <c r="F7" s="19">
        <v>210851300</v>
      </c>
      <c r="G7" s="17">
        <v>21727449945</v>
      </c>
      <c r="H7" s="20"/>
      <c r="I7" s="18">
        <f>Table3_2[[#This Row],[Sales Amount]]/Table3_2[[#This Row],[Net Sales (by Group Category)]]</f>
        <v>9.7043739846940421E-3</v>
      </c>
    </row>
    <row r="8" spans="1:9" x14ac:dyDescent="0.25">
      <c r="A8">
        <v>11</v>
      </c>
      <c r="B8" t="s">
        <v>18</v>
      </c>
      <c r="C8" s="16">
        <v>2</v>
      </c>
      <c r="D8" s="17">
        <v>3605</v>
      </c>
      <c r="E8" s="17">
        <v>43195</v>
      </c>
      <c r="F8" s="17">
        <v>671710090</v>
      </c>
      <c r="G8" s="17">
        <v>24911966510</v>
      </c>
      <c r="H8" s="20"/>
      <c r="I8" s="18">
        <f>Table3_2[[#This Row],[Sales Amount]]/Table3_2[[#This Row],[Net Sales (by Group Category)]]</f>
        <v>2.6963350714620079E-2</v>
      </c>
    </row>
    <row r="9" spans="1:9" x14ac:dyDescent="0.25">
      <c r="A9">
        <v>11</v>
      </c>
      <c r="B9" t="s">
        <v>19</v>
      </c>
      <c r="C9" s="16">
        <v>2</v>
      </c>
      <c r="D9" s="17">
        <v>75</v>
      </c>
      <c r="E9" s="17">
        <v>45456</v>
      </c>
      <c r="F9" s="19">
        <v>56890100</v>
      </c>
      <c r="G9" s="17">
        <v>24808382730</v>
      </c>
      <c r="H9" s="20"/>
      <c r="I9" s="18">
        <f>Table3_2[[#This Row],[Sales Amount]]/Table3_2[[#This Row],[Net Sales (by Group Category)]]</f>
        <v>2.2931805196315593E-3</v>
      </c>
    </row>
    <row r="10" spans="1:9" x14ac:dyDescent="0.25">
      <c r="A10">
        <v>11</v>
      </c>
      <c r="B10" t="s">
        <v>20</v>
      </c>
      <c r="C10" s="16">
        <v>4</v>
      </c>
      <c r="D10" s="17">
        <v>1277</v>
      </c>
      <c r="E10" s="17">
        <v>44141</v>
      </c>
      <c r="F10" s="17">
        <v>2186019200</v>
      </c>
      <c r="G10" s="17">
        <v>25662565050</v>
      </c>
      <c r="H10" s="20"/>
      <c r="I10" s="18">
        <f>Table3_2[[#This Row],[Sales Amount]]/Table3_2[[#This Row],[Net Sales (by Group Category)]]</f>
        <v>8.5183191771393094E-2</v>
      </c>
    </row>
    <row r="11" spans="1:9" x14ac:dyDescent="0.25">
      <c r="A11">
        <v>11</v>
      </c>
      <c r="B11" t="s">
        <v>21</v>
      </c>
      <c r="C11" s="16">
        <v>3</v>
      </c>
      <c r="D11" s="17">
        <v>812</v>
      </c>
      <c r="E11" s="17">
        <v>49785</v>
      </c>
      <c r="F11" s="19">
        <v>290529275</v>
      </c>
      <c r="G11" s="17">
        <v>29579245472</v>
      </c>
      <c r="H11" s="20"/>
      <c r="I11" s="18">
        <f>Table3_2[[#This Row],[Sales Amount]]/Table3_2[[#This Row],[Net Sales (by Group Category)]]</f>
        <v>9.8220651123443227E-3</v>
      </c>
    </row>
    <row r="12" spans="1:9" x14ac:dyDescent="0.25">
      <c r="A12">
        <v>11</v>
      </c>
      <c r="B12" t="s">
        <v>22</v>
      </c>
      <c r="C12" s="16">
        <v>2</v>
      </c>
      <c r="D12" s="17">
        <v>57</v>
      </c>
      <c r="E12" s="17">
        <v>49749</v>
      </c>
      <c r="F12" s="19">
        <v>59023500</v>
      </c>
      <c r="G12" s="17">
        <v>49656026227</v>
      </c>
      <c r="H12" s="20"/>
      <c r="I12" s="18">
        <f>Table3_2[[#This Row],[Sales Amount]]/Table3_2[[#This Row],[Net Sales (by Group Category)]]</f>
        <v>1.188647269722653E-3</v>
      </c>
    </row>
    <row r="13" spans="1:9" x14ac:dyDescent="0.25">
      <c r="A13">
        <v>14</v>
      </c>
      <c r="B13" t="s">
        <v>12</v>
      </c>
      <c r="C13" s="16">
        <v>8</v>
      </c>
      <c r="D13" s="17">
        <v>23370</v>
      </c>
      <c r="E13" s="17">
        <v>16089</v>
      </c>
      <c r="F13" s="19">
        <v>7326986808</v>
      </c>
      <c r="G13" s="17">
        <v>40959941942</v>
      </c>
      <c r="H13" s="20"/>
      <c r="I13" s="18">
        <f>Table3_2[[#This Row],[Sales Amount]]/Table3_2[[#This Row],[Net Sales (by Group Category)]]</f>
        <v>0.17888176741986458</v>
      </c>
    </row>
    <row r="14" spans="1:9" x14ac:dyDescent="0.25">
      <c r="A14">
        <v>14</v>
      </c>
      <c r="B14" t="s">
        <v>23</v>
      </c>
      <c r="C14" s="16">
        <v>9</v>
      </c>
      <c r="D14" s="17">
        <v>20033</v>
      </c>
      <c r="E14" s="17">
        <v>27249</v>
      </c>
      <c r="F14" s="17">
        <v>8121095144</v>
      </c>
      <c r="G14" s="17">
        <v>40341513590</v>
      </c>
      <c r="H14" s="20"/>
      <c r="I14" s="18">
        <f>Table3_2[[#This Row],[Sales Amount]]/Table3_2[[#This Row],[Net Sales (by Group Category)]]</f>
        <v>0.20130863771093324</v>
      </c>
    </row>
    <row r="15" spans="1:9" x14ac:dyDescent="0.25">
      <c r="A15">
        <v>14</v>
      </c>
      <c r="B15" t="s">
        <v>13</v>
      </c>
      <c r="C15" s="16">
        <v>8</v>
      </c>
      <c r="D15" s="17">
        <v>20620</v>
      </c>
      <c r="E15" s="17">
        <v>56975</v>
      </c>
      <c r="F15" s="17">
        <v>6230070691</v>
      </c>
      <c r="G15" s="17">
        <v>44009852764</v>
      </c>
      <c r="H15" s="20"/>
      <c r="I15" s="18">
        <f>Table3_2[[#This Row],[Sales Amount]]/Table3_2[[#This Row],[Net Sales (by Group Category)]]</f>
        <v>0.14156081649280566</v>
      </c>
    </row>
    <row r="16" spans="1:9" x14ac:dyDescent="0.25">
      <c r="A16">
        <v>14</v>
      </c>
      <c r="B16" t="s">
        <v>14</v>
      </c>
      <c r="C16" s="16">
        <v>10</v>
      </c>
      <c r="D16" s="17">
        <v>29559</v>
      </c>
      <c r="E16" s="17">
        <v>24330</v>
      </c>
      <c r="F16" s="19">
        <v>10048363375</v>
      </c>
      <c r="G16" s="17">
        <v>46525387981</v>
      </c>
      <c r="H16" s="20"/>
      <c r="I16" s="18">
        <f>Table3_2[[#This Row],[Sales Amount]]/Table3_2[[#This Row],[Net Sales (by Group Category)]]</f>
        <v>0.21597591790322185</v>
      </c>
    </row>
    <row r="17" spans="1:9" x14ac:dyDescent="0.25">
      <c r="A17">
        <v>14</v>
      </c>
      <c r="B17" t="s">
        <v>15</v>
      </c>
      <c r="C17" s="16">
        <v>13</v>
      </c>
      <c r="D17" s="17">
        <v>39267</v>
      </c>
      <c r="E17" s="17">
        <v>30801</v>
      </c>
      <c r="F17" s="19">
        <v>13125670043</v>
      </c>
      <c r="G17" s="17">
        <v>44774225072</v>
      </c>
      <c r="H17" s="20"/>
      <c r="I17" s="18">
        <f>Table3_2[[#This Row],[Sales Amount]]/Table3_2[[#This Row],[Net Sales (by Group Category)]]</f>
        <v>0.29315236661032168</v>
      </c>
    </row>
    <row r="18" spans="1:9" x14ac:dyDescent="0.25">
      <c r="A18">
        <v>14</v>
      </c>
      <c r="B18" t="s">
        <v>16</v>
      </c>
      <c r="C18" s="16">
        <v>11</v>
      </c>
      <c r="D18" s="17">
        <v>26338</v>
      </c>
      <c r="E18" s="17">
        <v>35694</v>
      </c>
      <c r="F18" s="19">
        <v>8917471911</v>
      </c>
      <c r="G18" s="17">
        <v>40172138308</v>
      </c>
      <c r="H18" s="20"/>
      <c r="I18" s="18">
        <f>Table3_2[[#This Row],[Sales Amount]]/Table3_2[[#This Row],[Net Sales (by Group Category)]]</f>
        <v>0.22198150973766184</v>
      </c>
    </row>
    <row r="19" spans="1:9" x14ac:dyDescent="0.25">
      <c r="A19">
        <v>14</v>
      </c>
      <c r="B19" t="s">
        <v>17</v>
      </c>
      <c r="C19" s="16">
        <v>9</v>
      </c>
      <c r="D19" s="17">
        <v>32436</v>
      </c>
      <c r="E19" s="17">
        <v>36073</v>
      </c>
      <c r="F19" s="17">
        <v>9934464724</v>
      </c>
      <c r="G19" s="17">
        <v>39998318857</v>
      </c>
      <c r="H19" s="20"/>
      <c r="I19" s="18">
        <f>Table3_2[[#This Row],[Sales Amount]]/Table3_2[[#This Row],[Net Sales (by Group Category)]]</f>
        <v>0.24837205682361813</v>
      </c>
    </row>
    <row r="20" spans="1:9" x14ac:dyDescent="0.25">
      <c r="A20">
        <v>14</v>
      </c>
      <c r="B20" t="s">
        <v>18</v>
      </c>
      <c r="C20" s="16">
        <v>5</v>
      </c>
      <c r="D20" s="17">
        <v>15555</v>
      </c>
      <c r="E20" s="17">
        <v>43195</v>
      </c>
      <c r="F20" s="17">
        <v>6219041283</v>
      </c>
      <c r="G20" s="17">
        <v>37134052274</v>
      </c>
      <c r="H20" s="20"/>
      <c r="I20" s="18">
        <f>Table3_2[[#This Row],[Sales Amount]]/Table3_2[[#This Row],[Net Sales (by Group Category)]]</f>
        <v>0.16747542759706732</v>
      </c>
    </row>
    <row r="21" spans="1:9" x14ac:dyDescent="0.25">
      <c r="A21">
        <v>14</v>
      </c>
      <c r="B21" t="s">
        <v>19</v>
      </c>
      <c r="C21" s="16">
        <v>9</v>
      </c>
      <c r="D21" s="17">
        <v>30405</v>
      </c>
      <c r="E21" s="17">
        <v>45456</v>
      </c>
      <c r="F21" s="17">
        <v>11630353999</v>
      </c>
      <c r="G21" s="17">
        <v>40527140631</v>
      </c>
      <c r="H21" s="20"/>
      <c r="I21" s="18">
        <f>Table3_2[[#This Row],[Sales Amount]]/Table3_2[[#This Row],[Net Sales (by Group Category)]]</f>
        <v>0.28697692010631798</v>
      </c>
    </row>
    <row r="22" spans="1:9" x14ac:dyDescent="0.25">
      <c r="A22">
        <v>14</v>
      </c>
      <c r="B22" t="s">
        <v>20</v>
      </c>
      <c r="C22" s="16">
        <v>11</v>
      </c>
      <c r="D22" s="17">
        <v>25713</v>
      </c>
      <c r="E22" s="17">
        <v>44141</v>
      </c>
      <c r="F22" s="19">
        <v>10095439585</v>
      </c>
      <c r="G22" s="17">
        <v>44254458770</v>
      </c>
      <c r="H22" s="20"/>
      <c r="I22" s="18">
        <f>Table3_2[[#This Row],[Sales Amount]]/Table3_2[[#This Row],[Net Sales (by Group Category)]]</f>
        <v>0.2281225409956584</v>
      </c>
    </row>
    <row r="23" spans="1:9" x14ac:dyDescent="0.25">
      <c r="A23">
        <v>14</v>
      </c>
      <c r="B23" t="s">
        <v>21</v>
      </c>
      <c r="C23" s="16">
        <v>9</v>
      </c>
      <c r="D23" s="17">
        <v>24933</v>
      </c>
      <c r="E23" s="17">
        <v>49785</v>
      </c>
      <c r="F23" s="17">
        <v>9448235752</v>
      </c>
      <c r="G23" s="17">
        <v>42053086165</v>
      </c>
      <c r="H23" s="20"/>
      <c r="I23" s="18">
        <f>Table3_2[[#This Row],[Sales Amount]]/Table3_2[[#This Row],[Net Sales (by Group Category)]]</f>
        <v>0.22467401595518549</v>
      </c>
    </row>
    <row r="24" spans="1:9" x14ac:dyDescent="0.25">
      <c r="A24">
        <v>14</v>
      </c>
      <c r="B24" t="s">
        <v>22</v>
      </c>
      <c r="C24" s="16">
        <v>4</v>
      </c>
      <c r="D24" s="17">
        <v>11573</v>
      </c>
      <c r="E24" s="17">
        <v>49749</v>
      </c>
      <c r="F24" s="19">
        <v>4664388691</v>
      </c>
      <c r="G24" s="17">
        <v>45925662080</v>
      </c>
      <c r="H24" s="20"/>
      <c r="I24" s="18">
        <f>Table3_2[[#This Row],[Sales Amount]]/Table3_2[[#This Row],[Net Sales (by Group Category)]]</f>
        <v>0.10156388563054114</v>
      </c>
    </row>
    <row r="25" spans="1:9" x14ac:dyDescent="0.25">
      <c r="A25">
        <v>17</v>
      </c>
      <c r="B25" t="s">
        <v>13</v>
      </c>
      <c r="C25" s="16">
        <v>2</v>
      </c>
      <c r="D25" s="17">
        <v>2147</v>
      </c>
      <c r="E25" s="17">
        <v>56975</v>
      </c>
      <c r="F25" s="19">
        <v>1594708102</v>
      </c>
      <c r="G25" s="17">
        <f>292639779315-Table3_2[[#This Row],[Sales Cigarattes]]</f>
        <v>113261625815</v>
      </c>
      <c r="H25" s="20">
        <v>179378153500</v>
      </c>
      <c r="I25" s="18">
        <f>Table3_2[[#This Row],[Sales Amount]]/Table3_2[[#This Row],[Net Sales (by Group Category)]]</f>
        <v>1.4079862358719577E-2</v>
      </c>
    </row>
    <row r="26" spans="1:9" x14ac:dyDescent="0.25">
      <c r="A26">
        <v>17</v>
      </c>
      <c r="B26" t="s">
        <v>14</v>
      </c>
      <c r="C26" s="16">
        <v>2</v>
      </c>
      <c r="D26" s="17">
        <v>1063</v>
      </c>
      <c r="E26" s="17">
        <v>24330</v>
      </c>
      <c r="F26" s="17">
        <v>854629690</v>
      </c>
      <c r="G26" s="17">
        <f>292639779315-Table3_2[[#This Row],[Sales Cigarattes]]</f>
        <v>70309691029</v>
      </c>
      <c r="H26" s="20">
        <v>222330088286</v>
      </c>
      <c r="I26" s="18">
        <f>Table3_2[[#This Row],[Sales Amount]]/Table3_2[[#This Row],[Net Sales (by Group Category)]]</f>
        <v>1.215521896757445E-2</v>
      </c>
    </row>
    <row r="27" spans="1:9" x14ac:dyDescent="0.25">
      <c r="A27">
        <v>17</v>
      </c>
      <c r="B27" t="s">
        <v>15</v>
      </c>
      <c r="C27" s="16">
        <v>8</v>
      </c>
      <c r="D27" s="17">
        <v>5629</v>
      </c>
      <c r="E27" s="17">
        <v>30801</v>
      </c>
      <c r="F27" s="17">
        <v>5697939549</v>
      </c>
      <c r="G27" s="17">
        <f>292639779315-Table3_2[[#This Row],[Sales Cigarattes]]</f>
        <v>84453809789</v>
      </c>
      <c r="H27" s="20">
        <v>208185969526</v>
      </c>
      <c r="I27" s="18">
        <f>Table3_2[[#This Row],[Sales Amount]]/Table3_2[[#This Row],[Net Sales (by Group Category)]]</f>
        <v>6.7468117344093442E-2</v>
      </c>
    </row>
    <row r="28" spans="1:9" x14ac:dyDescent="0.25">
      <c r="A28">
        <v>17</v>
      </c>
      <c r="B28" t="s">
        <v>16</v>
      </c>
      <c r="C28" s="16">
        <v>15</v>
      </c>
      <c r="D28" s="17">
        <v>5190</v>
      </c>
      <c r="E28" s="17">
        <v>35694</v>
      </c>
      <c r="F28" s="17">
        <v>4194137158</v>
      </c>
      <c r="G28" s="17">
        <f>292639779315-Table3_2[[#This Row],[Sales Cigarattes]]</f>
        <v>86471398705</v>
      </c>
      <c r="H28" s="20">
        <v>206168380610</v>
      </c>
      <c r="I28" s="18">
        <f>Table3_2[[#This Row],[Sales Amount]]/Table3_2[[#This Row],[Net Sales (by Group Category)]]</f>
        <v>4.8503172387767614E-2</v>
      </c>
    </row>
    <row r="29" spans="1:9" x14ac:dyDescent="0.25">
      <c r="A29">
        <v>17</v>
      </c>
      <c r="B29" t="s">
        <v>17</v>
      </c>
      <c r="C29" s="16">
        <v>28</v>
      </c>
      <c r="D29" s="17">
        <v>6892</v>
      </c>
      <c r="E29" s="17">
        <v>36073</v>
      </c>
      <c r="F29" s="19">
        <v>6251774297</v>
      </c>
      <c r="G29" s="17">
        <f>292639779315-Table3_2[[#This Row],[Sales Cigarattes]]</f>
        <v>105398966650</v>
      </c>
      <c r="H29" s="20">
        <v>187240812665</v>
      </c>
      <c r="I29" s="18">
        <f>Table3_2[[#This Row],[Sales Amount]]/Table3_2[[#This Row],[Net Sales (by Group Category)]]</f>
        <v>5.9315328183058617E-2</v>
      </c>
    </row>
    <row r="30" spans="1:9" x14ac:dyDescent="0.25">
      <c r="A30">
        <v>17</v>
      </c>
      <c r="B30" t="s">
        <v>18</v>
      </c>
      <c r="C30" s="16">
        <v>13</v>
      </c>
      <c r="D30" s="17">
        <v>5447</v>
      </c>
      <c r="E30" s="17">
        <v>43195</v>
      </c>
      <c r="F30" s="19">
        <v>10292826532</v>
      </c>
      <c r="G30" s="17">
        <f>292639779315-Table3_2[[#This Row],[Sales Cigarattes]]</f>
        <v>81774679885</v>
      </c>
      <c r="H30" s="20">
        <v>210865099430</v>
      </c>
      <c r="I30" s="18">
        <f>Table3_2[[#This Row],[Sales Amount]]/Table3_2[[#This Row],[Net Sales (by Group Category)]]</f>
        <v>0.12586813603519861</v>
      </c>
    </row>
    <row r="31" spans="1:9" x14ac:dyDescent="0.25">
      <c r="A31">
        <v>17</v>
      </c>
      <c r="B31" t="s">
        <v>19</v>
      </c>
      <c r="C31" s="16">
        <v>16</v>
      </c>
      <c r="D31" s="17">
        <v>7229</v>
      </c>
      <c r="E31" s="17">
        <v>45456</v>
      </c>
      <c r="F31" s="19">
        <v>8274092142</v>
      </c>
      <c r="G31" s="17">
        <f>292639779315-Table3_2[[#This Row],[Sales Cigarattes]]</f>
        <v>115649436915</v>
      </c>
      <c r="H31" s="20">
        <v>176990342400</v>
      </c>
      <c r="I31" s="18">
        <f>Table3_2[[#This Row],[Sales Amount]]/Table3_2[[#This Row],[Net Sales (by Group Category)]]</f>
        <v>7.1544595137815414E-2</v>
      </c>
    </row>
    <row r="32" spans="1:9" x14ac:dyDescent="0.25">
      <c r="A32">
        <v>17</v>
      </c>
      <c r="B32" t="s">
        <v>20</v>
      </c>
      <c r="C32" s="16">
        <v>15</v>
      </c>
      <c r="D32" s="17">
        <v>6145</v>
      </c>
      <c r="E32" s="17">
        <v>44141</v>
      </c>
      <c r="F32" s="17">
        <v>5624375680</v>
      </c>
      <c r="G32" s="17">
        <f>292639779315-Table3_2[[#This Row],[Sales Cigarattes]]</f>
        <v>66683764620</v>
      </c>
      <c r="H32" s="20">
        <v>225956014695</v>
      </c>
      <c r="I32" s="18">
        <f>Table3_2[[#This Row],[Sales Amount]]/Table3_2[[#This Row],[Net Sales (by Group Category)]]</f>
        <v>8.4344003552449712E-2</v>
      </c>
    </row>
    <row r="33" spans="1:9" x14ac:dyDescent="0.25">
      <c r="A33">
        <v>17</v>
      </c>
      <c r="B33" t="s">
        <v>21</v>
      </c>
      <c r="C33" s="16">
        <v>10</v>
      </c>
      <c r="D33" s="17">
        <v>4247</v>
      </c>
      <c r="E33" s="17">
        <v>49785</v>
      </c>
      <c r="F33" s="19">
        <v>3815168193</v>
      </c>
      <c r="G33" s="17">
        <f>292639779315-Table3_2[[#This Row],[Sales Cigarattes]]</f>
        <v>71048621143</v>
      </c>
      <c r="H33" s="20">
        <v>221591158172</v>
      </c>
      <c r="I33" s="18">
        <f>Table3_2[[#This Row],[Sales Amount]]/Table3_2[[#This Row],[Net Sales (by Group Category)]]</f>
        <v>5.3697990638286806E-2</v>
      </c>
    </row>
    <row r="34" spans="1:9" x14ac:dyDescent="0.25">
      <c r="A34">
        <v>17</v>
      </c>
      <c r="B34" t="s">
        <v>22</v>
      </c>
      <c r="C34" s="16">
        <v>1</v>
      </c>
      <c r="D34" s="17">
        <v>508</v>
      </c>
      <c r="E34" s="17">
        <v>49749</v>
      </c>
      <c r="F34" s="17">
        <v>474865320</v>
      </c>
      <c r="G34" s="17">
        <f>292639779315-Table3_2[[#This Row],[Sales Cigarattes]]</f>
        <v>70694048299</v>
      </c>
      <c r="H34" s="20">
        <v>221945731016</v>
      </c>
      <c r="I34" s="18">
        <f>Table3_2[[#This Row],[Sales Amount]]/Table3_2[[#This Row],[Net Sales (by Group Category)]]</f>
        <v>6.7171895149017403E-3</v>
      </c>
    </row>
    <row r="35" spans="1:9" x14ac:dyDescent="0.25">
      <c r="A35">
        <v>19</v>
      </c>
      <c r="B35" t="s">
        <v>12</v>
      </c>
      <c r="C35" s="16">
        <v>4</v>
      </c>
      <c r="D35" s="17">
        <v>2958</v>
      </c>
      <c r="E35" s="17">
        <v>16089</v>
      </c>
      <c r="F35" s="19">
        <v>260620570</v>
      </c>
      <c r="G35" s="17">
        <v>14404226612</v>
      </c>
      <c r="H35" s="20"/>
      <c r="I35" s="18">
        <f>Table3_2[[#This Row],[Sales Amount]]/Table3_2[[#This Row],[Net Sales (by Group Category)]]</f>
        <v>1.8093340032770654E-2</v>
      </c>
    </row>
    <row r="36" spans="1:9" x14ac:dyDescent="0.25">
      <c r="A36">
        <v>19</v>
      </c>
      <c r="B36" t="s">
        <v>23</v>
      </c>
      <c r="C36" s="16">
        <v>4</v>
      </c>
      <c r="D36" s="17">
        <v>2734</v>
      </c>
      <c r="E36" s="17">
        <v>27249</v>
      </c>
      <c r="F36" s="17">
        <v>550684155</v>
      </c>
      <c r="G36" s="17">
        <v>11944429770</v>
      </c>
      <c r="H36" s="20"/>
      <c r="I36" s="18">
        <f>Table3_2[[#This Row],[Sales Amount]]/Table3_2[[#This Row],[Net Sales (by Group Category)]]</f>
        <v>4.6103846362185945E-2</v>
      </c>
    </row>
    <row r="37" spans="1:9" x14ac:dyDescent="0.25">
      <c r="A37">
        <v>19</v>
      </c>
      <c r="B37" t="s">
        <v>13</v>
      </c>
      <c r="C37" s="16">
        <v>5</v>
      </c>
      <c r="D37" s="17">
        <v>747</v>
      </c>
      <c r="E37" s="17">
        <v>56975</v>
      </c>
      <c r="F37" s="19">
        <v>119860490</v>
      </c>
      <c r="G37" s="17">
        <v>14879889210</v>
      </c>
      <c r="H37" s="20"/>
      <c r="I37" s="18">
        <f>Table3_2[[#This Row],[Sales Amount]]/Table3_2[[#This Row],[Net Sales (by Group Category)]]</f>
        <v>8.0552004325037587E-3</v>
      </c>
    </row>
    <row r="38" spans="1:9" x14ac:dyDescent="0.25">
      <c r="A38">
        <v>19</v>
      </c>
      <c r="B38" t="s">
        <v>14</v>
      </c>
      <c r="C38" s="16">
        <v>2</v>
      </c>
      <c r="D38" s="17">
        <v>261</v>
      </c>
      <c r="E38" s="17">
        <v>24330</v>
      </c>
      <c r="F38" s="17">
        <v>42609325</v>
      </c>
      <c r="G38" s="17">
        <v>11711935716</v>
      </c>
      <c r="H38" s="20"/>
      <c r="I38" s="18">
        <f>Table3_2[[#This Row],[Sales Amount]]/Table3_2[[#This Row],[Net Sales (by Group Category)]]</f>
        <v>3.6381112425156346E-3</v>
      </c>
    </row>
    <row r="39" spans="1:9" x14ac:dyDescent="0.25">
      <c r="A39">
        <v>19</v>
      </c>
      <c r="B39" t="s">
        <v>16</v>
      </c>
      <c r="C39" s="16">
        <v>1</v>
      </c>
      <c r="D39" s="17">
        <v>3957</v>
      </c>
      <c r="E39" s="17">
        <v>35694</v>
      </c>
      <c r="F39" s="17">
        <v>529253986</v>
      </c>
      <c r="G39" s="17">
        <v>13013421984</v>
      </c>
      <c r="H39" s="20"/>
      <c r="I39" s="18">
        <f>Table3_2[[#This Row],[Sales Amount]]/Table3_2[[#This Row],[Net Sales (by Group Category)]]</f>
        <v>4.0669855065847992E-2</v>
      </c>
    </row>
    <row r="40" spans="1:9" x14ac:dyDescent="0.25">
      <c r="A40">
        <v>19</v>
      </c>
      <c r="B40" t="s">
        <v>19</v>
      </c>
      <c r="C40" s="16">
        <v>2</v>
      </c>
      <c r="D40" s="17">
        <v>4</v>
      </c>
      <c r="E40" s="17">
        <v>45456</v>
      </c>
      <c r="F40" s="17">
        <v>1403250</v>
      </c>
      <c r="G40" s="17">
        <v>15413693517</v>
      </c>
      <c r="H40" s="20"/>
      <c r="I40" s="18">
        <f>Table3_2[[#This Row],[Sales Amount]]/Table3_2[[#This Row],[Net Sales (by Group Category)]]</f>
        <v>9.1039178795941018E-5</v>
      </c>
    </row>
    <row r="41" spans="1:9" x14ac:dyDescent="0.25">
      <c r="A41">
        <v>19</v>
      </c>
      <c r="B41" t="s">
        <v>20</v>
      </c>
      <c r="C41" s="16">
        <v>4</v>
      </c>
      <c r="D41" s="17">
        <v>970</v>
      </c>
      <c r="E41" s="17">
        <v>44141</v>
      </c>
      <c r="F41" s="19">
        <v>30954700</v>
      </c>
      <c r="G41" s="17">
        <v>13659019329</v>
      </c>
      <c r="H41" s="20"/>
      <c r="I41" s="18">
        <f>Table3_2[[#This Row],[Sales Amount]]/Table3_2[[#This Row],[Net Sales (by Group Category)]]</f>
        <v>2.2662461524070665E-3</v>
      </c>
    </row>
    <row r="42" spans="1:9" x14ac:dyDescent="0.25">
      <c r="A42">
        <v>19</v>
      </c>
      <c r="B42" t="s">
        <v>21</v>
      </c>
      <c r="C42" s="16">
        <v>5</v>
      </c>
      <c r="D42" s="17">
        <v>4630</v>
      </c>
      <c r="E42" s="17">
        <v>49785</v>
      </c>
      <c r="F42" s="17">
        <v>1309687974</v>
      </c>
      <c r="G42" s="17">
        <v>14683479539</v>
      </c>
      <c r="H42" s="20"/>
      <c r="I42" s="18">
        <f>Table3_2[[#This Row],[Sales Amount]]/Table3_2[[#This Row],[Net Sales (by Group Category)]]</f>
        <v>8.919466060625536E-2</v>
      </c>
    </row>
    <row r="43" spans="1:9" x14ac:dyDescent="0.25">
      <c r="A43">
        <v>19</v>
      </c>
      <c r="B43" t="s">
        <v>22</v>
      </c>
      <c r="C43" s="16">
        <v>4</v>
      </c>
      <c r="D43" s="17">
        <v>203</v>
      </c>
      <c r="E43" s="17">
        <v>49749</v>
      </c>
      <c r="F43" s="19">
        <v>27737800</v>
      </c>
      <c r="G43" s="17">
        <v>17337267530</v>
      </c>
      <c r="H43" s="20"/>
      <c r="I43" s="18">
        <f>Table3_2[[#This Row],[Sales Amount]]/Table3_2[[#This Row],[Net Sales (by Group Category)]]</f>
        <v>1.5998945596244138E-3</v>
      </c>
    </row>
    <row r="44" spans="1:9" x14ac:dyDescent="0.25">
      <c r="A44">
        <v>21</v>
      </c>
      <c r="B44" t="s">
        <v>12</v>
      </c>
      <c r="C44" s="16">
        <v>5</v>
      </c>
      <c r="D44" s="17">
        <v>2933</v>
      </c>
      <c r="E44" s="17">
        <v>16089</v>
      </c>
      <c r="F44" s="19">
        <v>3080667820</v>
      </c>
      <c r="G44" s="17">
        <v>78627787880</v>
      </c>
      <c r="H44" s="20"/>
      <c r="I44" s="18">
        <f>Table3_2[[#This Row],[Sales Amount]]/Table3_2[[#This Row],[Net Sales (by Group Category)]]</f>
        <v>3.9180395418241289E-2</v>
      </c>
    </row>
    <row r="45" spans="1:9" x14ac:dyDescent="0.25">
      <c r="A45">
        <v>21</v>
      </c>
      <c r="B45" t="s">
        <v>23</v>
      </c>
      <c r="C45" s="16">
        <v>5</v>
      </c>
      <c r="D45" s="17">
        <v>2012</v>
      </c>
      <c r="E45" s="17">
        <v>27249</v>
      </c>
      <c r="F45" s="17">
        <v>1554282780</v>
      </c>
      <c r="G45" s="17">
        <v>77602515840</v>
      </c>
      <c r="H45" s="20"/>
      <c r="I45" s="18">
        <f>Table3_2[[#This Row],[Sales Amount]]/Table3_2[[#This Row],[Net Sales (by Group Category)]]</f>
        <v>2.0028767922996245E-2</v>
      </c>
    </row>
    <row r="46" spans="1:9" x14ac:dyDescent="0.25">
      <c r="A46">
        <v>21</v>
      </c>
      <c r="B46" t="s">
        <v>13</v>
      </c>
      <c r="C46" s="16">
        <v>5</v>
      </c>
      <c r="D46" s="17">
        <v>12226</v>
      </c>
      <c r="E46" s="17">
        <v>56975</v>
      </c>
      <c r="F46" s="17">
        <v>13150782677</v>
      </c>
      <c r="G46" s="17">
        <v>80736046069</v>
      </c>
      <c r="H46" s="20"/>
      <c r="I46" s="18">
        <f>Table3_2[[#This Row],[Sales Amount]]/Table3_2[[#This Row],[Net Sales (by Group Category)]]</f>
        <v>0.16288613720023962</v>
      </c>
    </row>
    <row r="47" spans="1:9" x14ac:dyDescent="0.25">
      <c r="A47">
        <v>21</v>
      </c>
      <c r="B47" t="s">
        <v>14</v>
      </c>
      <c r="C47" s="16">
        <v>2</v>
      </c>
      <c r="D47" s="17">
        <v>4323</v>
      </c>
      <c r="E47" s="17">
        <v>24330</v>
      </c>
      <c r="F47" s="19">
        <v>1864299310</v>
      </c>
      <c r="G47" s="17">
        <v>73234100522</v>
      </c>
      <c r="H47" s="20"/>
      <c r="I47" s="18">
        <f>Table3_2[[#This Row],[Sales Amount]]/Table3_2[[#This Row],[Net Sales (by Group Category)]]</f>
        <v>2.5456710695039565E-2</v>
      </c>
    </row>
    <row r="48" spans="1:9" x14ac:dyDescent="0.25">
      <c r="A48">
        <v>21</v>
      </c>
      <c r="B48" t="s">
        <v>15</v>
      </c>
      <c r="C48" s="16">
        <v>4</v>
      </c>
      <c r="D48" s="17">
        <v>890</v>
      </c>
      <c r="E48" s="17">
        <v>30801</v>
      </c>
      <c r="F48" s="19">
        <v>474919505</v>
      </c>
      <c r="G48" s="17">
        <v>78136844291</v>
      </c>
      <c r="H48" s="20"/>
      <c r="I48" s="18">
        <f>Table3_2[[#This Row],[Sales Amount]]/Table3_2[[#This Row],[Net Sales (by Group Category)]]</f>
        <v>6.0780481898051577E-3</v>
      </c>
    </row>
    <row r="49" spans="1:9" x14ac:dyDescent="0.25">
      <c r="A49">
        <v>21</v>
      </c>
      <c r="B49" t="s">
        <v>16</v>
      </c>
      <c r="C49" s="16">
        <v>5</v>
      </c>
      <c r="D49" s="17">
        <v>2377</v>
      </c>
      <c r="E49" s="17">
        <v>35694</v>
      </c>
      <c r="F49" s="19">
        <v>1452933644</v>
      </c>
      <c r="G49" s="17">
        <v>70298551984</v>
      </c>
      <c r="H49" s="20"/>
      <c r="I49" s="18">
        <f>Table3_2[[#This Row],[Sales Amount]]/Table3_2[[#This Row],[Net Sales (by Group Category)]]</f>
        <v>2.0668045116074209E-2</v>
      </c>
    </row>
    <row r="50" spans="1:9" x14ac:dyDescent="0.25">
      <c r="A50">
        <v>21</v>
      </c>
      <c r="B50" t="s">
        <v>17</v>
      </c>
      <c r="C50" s="16">
        <v>4</v>
      </c>
      <c r="D50" s="17">
        <v>15422</v>
      </c>
      <c r="E50" s="17">
        <v>36073</v>
      </c>
      <c r="F50" s="17">
        <v>10837775625</v>
      </c>
      <c r="G50" s="17">
        <v>74495933806</v>
      </c>
      <c r="H50" s="20"/>
      <c r="I50" s="18">
        <f>Table3_2[[#This Row],[Sales Amount]]/Table3_2[[#This Row],[Net Sales (by Group Category)]]</f>
        <v>0.14548143866782581</v>
      </c>
    </row>
    <row r="51" spans="1:9" x14ac:dyDescent="0.25">
      <c r="A51">
        <v>21</v>
      </c>
      <c r="B51" t="s">
        <v>18</v>
      </c>
      <c r="C51" s="16">
        <v>1</v>
      </c>
      <c r="D51" s="17">
        <v>600</v>
      </c>
      <c r="E51" s="17">
        <v>43195</v>
      </c>
      <c r="F51" s="17">
        <v>197099750</v>
      </c>
      <c r="G51" s="17">
        <v>67164485111</v>
      </c>
      <c r="H51" s="20"/>
      <c r="I51" s="18">
        <f>Table3_2[[#This Row],[Sales Amount]]/Table3_2[[#This Row],[Net Sales (by Group Category)]]</f>
        <v>2.9345829075330706E-3</v>
      </c>
    </row>
    <row r="52" spans="1:9" x14ac:dyDescent="0.25">
      <c r="A52">
        <v>21</v>
      </c>
      <c r="B52" t="s">
        <v>19</v>
      </c>
      <c r="C52" s="16">
        <v>6</v>
      </c>
      <c r="D52" s="17">
        <v>1936</v>
      </c>
      <c r="E52" s="17">
        <v>45456</v>
      </c>
      <c r="F52" s="17">
        <v>570252600</v>
      </c>
      <c r="G52" s="17">
        <v>79794817907</v>
      </c>
      <c r="H52" s="20"/>
      <c r="I52" s="18">
        <f>Table3_2[[#This Row],[Sales Amount]]/Table3_2[[#This Row],[Net Sales (by Group Category)]]</f>
        <v>7.1464866385762453E-3</v>
      </c>
    </row>
    <row r="53" spans="1:9" x14ac:dyDescent="0.25">
      <c r="A53">
        <v>21</v>
      </c>
      <c r="B53" t="s">
        <v>20</v>
      </c>
      <c r="C53" s="16">
        <v>3</v>
      </c>
      <c r="D53" s="17">
        <v>1153</v>
      </c>
      <c r="E53" s="17">
        <v>44141</v>
      </c>
      <c r="F53" s="19">
        <v>467124160</v>
      </c>
      <c r="G53" s="17">
        <v>79335181195</v>
      </c>
      <c r="H53" s="20"/>
      <c r="I53" s="18">
        <f>Table3_2[[#This Row],[Sales Amount]]/Table3_2[[#This Row],[Net Sales (by Group Category)]]</f>
        <v>5.8879825187749101E-3</v>
      </c>
    </row>
    <row r="54" spans="1:9" x14ac:dyDescent="0.25">
      <c r="A54">
        <v>21</v>
      </c>
      <c r="B54" t="s">
        <v>21</v>
      </c>
      <c r="C54" s="16">
        <v>3</v>
      </c>
      <c r="D54" s="17">
        <v>1975</v>
      </c>
      <c r="E54" s="17">
        <v>49785</v>
      </c>
      <c r="F54" s="17">
        <v>914643285</v>
      </c>
      <c r="G54" s="17">
        <v>90610409272</v>
      </c>
      <c r="H54" s="20"/>
      <c r="I54" s="18">
        <f>Table3_2[[#This Row],[Sales Amount]]/Table3_2[[#This Row],[Net Sales (by Group Category)]]</f>
        <v>1.0094240742852915E-2</v>
      </c>
    </row>
    <row r="55" spans="1:9" x14ac:dyDescent="0.25">
      <c r="A55">
        <v>21</v>
      </c>
      <c r="B55" t="s">
        <v>22</v>
      </c>
      <c r="C55" s="16">
        <v>1</v>
      </c>
      <c r="D55" s="17">
        <v>1294</v>
      </c>
      <c r="E55" s="17">
        <v>49749</v>
      </c>
      <c r="F55" s="19">
        <v>1177518800</v>
      </c>
      <c r="G55" s="17">
        <v>87939652673</v>
      </c>
      <c r="H55" s="20"/>
      <c r="I55" s="18">
        <f>Table3_2[[#This Row],[Sales Amount]]/Table3_2[[#This Row],[Net Sales (by Group Category)]]</f>
        <v>1.3390077902383302E-2</v>
      </c>
    </row>
    <row r="56" spans="1:9" x14ac:dyDescent="0.25">
      <c r="A56">
        <v>26</v>
      </c>
      <c r="B56" t="s">
        <v>12</v>
      </c>
      <c r="C56" s="16">
        <v>4</v>
      </c>
      <c r="D56" s="17">
        <v>3763</v>
      </c>
      <c r="E56" s="17">
        <v>16089</v>
      </c>
      <c r="F56" s="17">
        <v>2212755271</v>
      </c>
      <c r="G56" s="17">
        <v>80615541990</v>
      </c>
      <c r="H56" s="20"/>
      <c r="I56" s="18">
        <f>Table3_2[[#This Row],[Sales Amount]]/Table3_2[[#This Row],[Net Sales (by Group Category)]]</f>
        <v>2.7448246533831933E-2</v>
      </c>
    </row>
    <row r="57" spans="1:9" x14ac:dyDescent="0.25">
      <c r="A57">
        <v>26</v>
      </c>
      <c r="B57" t="s">
        <v>23</v>
      </c>
      <c r="C57" s="16">
        <v>7</v>
      </c>
      <c r="D57" s="17">
        <v>7114</v>
      </c>
      <c r="E57" s="17">
        <v>27249</v>
      </c>
      <c r="F57" s="19">
        <v>4434279613</v>
      </c>
      <c r="G57" s="17">
        <v>91163614719</v>
      </c>
      <c r="H57" s="20"/>
      <c r="I57" s="18">
        <f>Table3_2[[#This Row],[Sales Amount]]/Table3_2[[#This Row],[Net Sales (by Group Category)]]</f>
        <v>4.8640892824051471E-2</v>
      </c>
    </row>
    <row r="58" spans="1:9" x14ac:dyDescent="0.25">
      <c r="A58">
        <v>26</v>
      </c>
      <c r="B58" t="s">
        <v>13</v>
      </c>
      <c r="C58" s="16">
        <v>6</v>
      </c>
      <c r="D58" s="17">
        <v>17578</v>
      </c>
      <c r="E58" s="17">
        <v>56975</v>
      </c>
      <c r="F58" s="19">
        <v>16668039370</v>
      </c>
      <c r="G58" s="17">
        <v>120441757861</v>
      </c>
      <c r="H58" s="20"/>
      <c r="I58" s="18">
        <f>Table3_2[[#This Row],[Sales Amount]]/Table3_2[[#This Row],[Net Sales (by Group Category)]]</f>
        <v>0.13839086763609287</v>
      </c>
    </row>
    <row r="59" spans="1:9" x14ac:dyDescent="0.25">
      <c r="A59">
        <v>26</v>
      </c>
      <c r="B59" t="s">
        <v>14</v>
      </c>
      <c r="C59" s="16">
        <v>3</v>
      </c>
      <c r="D59" s="17">
        <v>1987</v>
      </c>
      <c r="E59" s="17">
        <v>24330</v>
      </c>
      <c r="F59" s="19">
        <v>2695961996</v>
      </c>
      <c r="G59" s="17">
        <v>89675780172</v>
      </c>
      <c r="H59" s="20"/>
      <c r="I59" s="18">
        <f>Table3_2[[#This Row],[Sales Amount]]/Table3_2[[#This Row],[Net Sales (by Group Category)]]</f>
        <v>3.0063435086141309E-2</v>
      </c>
    </row>
    <row r="60" spans="1:9" x14ac:dyDescent="0.25">
      <c r="A60">
        <v>26</v>
      </c>
      <c r="B60" t="s">
        <v>15</v>
      </c>
      <c r="C60" s="16">
        <v>6</v>
      </c>
      <c r="D60" s="17">
        <v>23063</v>
      </c>
      <c r="E60" s="17">
        <v>30801</v>
      </c>
      <c r="F60" s="17">
        <v>43210336462</v>
      </c>
      <c r="G60" s="17">
        <v>114386218620</v>
      </c>
      <c r="H60" s="20"/>
      <c r="I60" s="18">
        <f>Table3_2[[#This Row],[Sales Amount]]/Table3_2[[#This Row],[Net Sales (by Group Category)]]</f>
        <v>0.3777582385649807</v>
      </c>
    </row>
    <row r="61" spans="1:9" x14ac:dyDescent="0.25">
      <c r="A61">
        <v>26</v>
      </c>
      <c r="B61" t="s">
        <v>16</v>
      </c>
      <c r="C61" s="16">
        <v>13</v>
      </c>
      <c r="D61" s="17">
        <v>22323</v>
      </c>
      <c r="E61" s="17">
        <v>35694</v>
      </c>
      <c r="F61" s="17">
        <v>42174087182</v>
      </c>
      <c r="G61" s="17">
        <v>91652291687</v>
      </c>
      <c r="H61" s="20"/>
      <c r="I61" s="18">
        <f>Table3_2[[#This Row],[Sales Amount]]/Table3_2[[#This Row],[Net Sales (by Group Category)]]</f>
        <v>0.46015311134857295</v>
      </c>
    </row>
    <row r="62" spans="1:9" x14ac:dyDescent="0.25">
      <c r="A62">
        <v>26</v>
      </c>
      <c r="B62" t="s">
        <v>17</v>
      </c>
      <c r="C62" s="16">
        <v>4</v>
      </c>
      <c r="D62" s="17">
        <v>8414</v>
      </c>
      <c r="E62" s="17">
        <v>36073</v>
      </c>
      <c r="F62" s="19">
        <v>22307965340</v>
      </c>
      <c r="G62" s="17">
        <v>96023107400</v>
      </c>
      <c r="H62" s="20"/>
      <c r="I62" s="18">
        <f>Table3_2[[#This Row],[Sales Amount]]/Table3_2[[#This Row],[Net Sales (by Group Category)]]</f>
        <v>0.23231871935858639</v>
      </c>
    </row>
    <row r="63" spans="1:9" x14ac:dyDescent="0.25">
      <c r="A63">
        <v>26</v>
      </c>
      <c r="B63" t="s">
        <v>18</v>
      </c>
      <c r="C63" s="16">
        <v>4</v>
      </c>
      <c r="D63" s="17">
        <v>1784</v>
      </c>
      <c r="E63" s="17">
        <v>43195</v>
      </c>
      <c r="F63" s="17">
        <v>2567840416</v>
      </c>
      <c r="G63" s="17">
        <v>97610289115</v>
      </c>
      <c r="H63" s="20"/>
      <c r="I63" s="18">
        <f>Table3_2[[#This Row],[Sales Amount]]/Table3_2[[#This Row],[Net Sales (by Group Category)]]</f>
        <v>2.6307067003711947E-2</v>
      </c>
    </row>
    <row r="64" spans="1:9" x14ac:dyDescent="0.25">
      <c r="A64">
        <v>26</v>
      </c>
      <c r="B64" t="s">
        <v>19</v>
      </c>
      <c r="C64" s="16">
        <v>5</v>
      </c>
      <c r="D64" s="17">
        <v>4053</v>
      </c>
      <c r="E64" s="17">
        <v>45456</v>
      </c>
      <c r="F64" s="19">
        <v>1575806346</v>
      </c>
      <c r="G64" s="17">
        <v>97548746375</v>
      </c>
      <c r="H64" s="20"/>
      <c r="I64" s="18">
        <f>Table3_2[[#This Row],[Sales Amount]]/Table3_2[[#This Row],[Net Sales (by Group Category)]]</f>
        <v>1.6154039949854763E-2</v>
      </c>
    </row>
    <row r="65" spans="1:9" x14ac:dyDescent="0.25">
      <c r="A65">
        <v>26</v>
      </c>
      <c r="B65" t="s">
        <v>20</v>
      </c>
      <c r="C65" s="16">
        <v>4</v>
      </c>
      <c r="D65" s="17">
        <v>1168</v>
      </c>
      <c r="E65" s="17">
        <v>44141</v>
      </c>
      <c r="F65" s="17">
        <v>745789026</v>
      </c>
      <c r="G65" s="17">
        <v>117500522840</v>
      </c>
      <c r="H65" s="20"/>
      <c r="I65" s="18">
        <f>Table3_2[[#This Row],[Sales Amount]]/Table3_2[[#This Row],[Net Sales (by Group Category)]]</f>
        <v>6.3471124040489421E-3</v>
      </c>
    </row>
    <row r="66" spans="1:9" x14ac:dyDescent="0.25">
      <c r="A66">
        <v>26</v>
      </c>
      <c r="B66" t="s">
        <v>21</v>
      </c>
      <c r="C66" s="16">
        <v>2</v>
      </c>
      <c r="D66" s="17">
        <v>818</v>
      </c>
      <c r="E66" s="17">
        <v>49785</v>
      </c>
      <c r="F66" s="19">
        <v>1112220690</v>
      </c>
      <c r="G66" s="17">
        <v>104379933925</v>
      </c>
      <c r="H66" s="20"/>
      <c r="I66" s="18">
        <f>Table3_2[[#This Row],[Sales Amount]]/Table3_2[[#This Row],[Net Sales (by Group Category)]]</f>
        <v>1.0655502913032716E-2</v>
      </c>
    </row>
    <row r="67" spans="1:9" x14ac:dyDescent="0.25">
      <c r="A67">
        <v>27</v>
      </c>
      <c r="B67" t="s">
        <v>12</v>
      </c>
      <c r="C67" s="16">
        <v>3</v>
      </c>
      <c r="D67" s="17">
        <v>201</v>
      </c>
      <c r="E67" s="17">
        <v>16089</v>
      </c>
      <c r="F67" s="19">
        <v>41496400</v>
      </c>
      <c r="G67" s="17">
        <v>41214229368</v>
      </c>
      <c r="H67" s="20"/>
      <c r="I67" s="18">
        <f>Table3_2[[#This Row],[Sales Amount]]/Table3_2[[#This Row],[Net Sales (by Group Category)]]</f>
        <v>1.0068464371729606E-3</v>
      </c>
    </row>
    <row r="68" spans="1:9" x14ac:dyDescent="0.25">
      <c r="A68">
        <v>27</v>
      </c>
      <c r="B68" t="s">
        <v>23</v>
      </c>
      <c r="C68" s="16">
        <v>3</v>
      </c>
      <c r="D68" s="17">
        <v>1939</v>
      </c>
      <c r="E68" s="17">
        <v>27249</v>
      </c>
      <c r="F68" s="17">
        <v>412744527</v>
      </c>
      <c r="G68" s="17">
        <v>81055387234</v>
      </c>
      <c r="H68" s="20"/>
      <c r="I68" s="18">
        <f>Table3_2[[#This Row],[Sales Amount]]/Table3_2[[#This Row],[Net Sales (by Group Category)]]</f>
        <v>5.0921294818867709E-3</v>
      </c>
    </row>
    <row r="69" spans="1:9" x14ac:dyDescent="0.25">
      <c r="A69">
        <v>27</v>
      </c>
      <c r="B69" t="s">
        <v>13</v>
      </c>
      <c r="C69" s="16">
        <v>3</v>
      </c>
      <c r="D69" s="17">
        <v>245</v>
      </c>
      <c r="E69" s="17">
        <v>56975</v>
      </c>
      <c r="F69" s="17">
        <v>67687600</v>
      </c>
      <c r="G69" s="17">
        <v>102477795403</v>
      </c>
      <c r="H69" s="20"/>
      <c r="I69" s="18">
        <f>Table3_2[[#This Row],[Sales Amount]]/Table3_2[[#This Row],[Net Sales (by Group Category)]]</f>
        <v>6.6050991567309289E-4</v>
      </c>
    </row>
    <row r="70" spans="1:9" x14ac:dyDescent="0.25">
      <c r="A70">
        <v>27</v>
      </c>
      <c r="B70" t="s">
        <v>14</v>
      </c>
      <c r="C70" s="16">
        <v>2</v>
      </c>
      <c r="D70" s="17">
        <v>3002</v>
      </c>
      <c r="E70" s="17">
        <v>24330</v>
      </c>
      <c r="F70" s="17">
        <v>587386386</v>
      </c>
      <c r="G70" s="17">
        <v>16955870667</v>
      </c>
      <c r="H70" s="20"/>
      <c r="I70" s="18">
        <f>Table3_2[[#This Row],[Sales Amount]]/Table3_2[[#This Row],[Net Sales (by Group Category)]]</f>
        <v>3.464206572082365E-2</v>
      </c>
    </row>
    <row r="71" spans="1:9" x14ac:dyDescent="0.25">
      <c r="A71">
        <v>27</v>
      </c>
      <c r="B71" t="s">
        <v>15</v>
      </c>
      <c r="C71" s="16">
        <v>4</v>
      </c>
      <c r="D71" s="17">
        <v>2988</v>
      </c>
      <c r="E71" s="17">
        <v>30801</v>
      </c>
      <c r="F71" s="19">
        <v>960846479</v>
      </c>
      <c r="G71" s="17">
        <v>19249561761</v>
      </c>
      <c r="H71" s="20"/>
      <c r="I71" s="18">
        <f>Table3_2[[#This Row],[Sales Amount]]/Table3_2[[#This Row],[Net Sales (by Group Category)]]</f>
        <v>4.9915239158674997E-2</v>
      </c>
    </row>
    <row r="72" spans="1:9" x14ac:dyDescent="0.25">
      <c r="A72">
        <v>27</v>
      </c>
      <c r="B72" t="s">
        <v>16</v>
      </c>
      <c r="C72" s="16">
        <v>4</v>
      </c>
      <c r="D72" s="17">
        <v>3008</v>
      </c>
      <c r="E72" s="17">
        <v>35694</v>
      </c>
      <c r="F72" s="19">
        <v>919340440</v>
      </c>
      <c r="G72" s="17">
        <v>19533083163</v>
      </c>
      <c r="H72" s="20"/>
      <c r="I72" s="18">
        <f>Table3_2[[#This Row],[Sales Amount]]/Table3_2[[#This Row],[Net Sales (by Group Category)]]</f>
        <v>4.7065813027481244E-2</v>
      </c>
    </row>
    <row r="73" spans="1:9" x14ac:dyDescent="0.25">
      <c r="A73">
        <v>27</v>
      </c>
      <c r="B73" t="s">
        <v>17</v>
      </c>
      <c r="C73" s="16">
        <v>3</v>
      </c>
      <c r="D73" s="17">
        <v>1675</v>
      </c>
      <c r="E73" s="17">
        <v>36073</v>
      </c>
      <c r="F73" s="17">
        <v>355292073</v>
      </c>
      <c r="G73" s="17">
        <v>19535810881</v>
      </c>
      <c r="H73" s="20"/>
      <c r="I73" s="18">
        <f>Table3_2[[#This Row],[Sales Amount]]/Table3_2[[#This Row],[Net Sales (by Group Category)]]</f>
        <v>1.8186707230338078E-2</v>
      </c>
    </row>
    <row r="74" spans="1:9" x14ac:dyDescent="0.25">
      <c r="A74">
        <v>27</v>
      </c>
      <c r="B74" t="s">
        <v>19</v>
      </c>
      <c r="C74" s="16">
        <v>4</v>
      </c>
      <c r="D74" s="17">
        <v>1431</v>
      </c>
      <c r="E74" s="17">
        <v>45456</v>
      </c>
      <c r="F74" s="17">
        <v>313603340</v>
      </c>
      <c r="G74" s="17">
        <v>18937775543</v>
      </c>
      <c r="H74" s="20"/>
      <c r="I74" s="18">
        <f>Table3_2[[#This Row],[Sales Amount]]/Table3_2[[#This Row],[Net Sales (by Group Category)]]</f>
        <v>1.6559671397938694E-2</v>
      </c>
    </row>
    <row r="75" spans="1:9" x14ac:dyDescent="0.25">
      <c r="A75">
        <v>27</v>
      </c>
      <c r="B75" t="s">
        <v>20</v>
      </c>
      <c r="C75" s="16">
        <v>5</v>
      </c>
      <c r="D75" s="17">
        <v>1952</v>
      </c>
      <c r="E75" s="17">
        <v>44141</v>
      </c>
      <c r="F75" s="19">
        <v>368816726</v>
      </c>
      <c r="G75" s="17">
        <v>22663953139</v>
      </c>
      <c r="H75" s="20"/>
      <c r="I75" s="18">
        <f>Table3_2[[#This Row],[Sales Amount]]/Table3_2[[#This Row],[Net Sales (by Group Category)]]</f>
        <v>1.6273274293236262E-2</v>
      </c>
    </row>
    <row r="76" spans="1:9" x14ac:dyDescent="0.25">
      <c r="A76">
        <v>27</v>
      </c>
      <c r="B76" t="s">
        <v>21</v>
      </c>
      <c r="C76" s="16">
        <v>1</v>
      </c>
      <c r="D76" s="17">
        <v>1154</v>
      </c>
      <c r="E76" s="17">
        <v>49785</v>
      </c>
      <c r="F76" s="17">
        <v>204599560</v>
      </c>
      <c r="G76" s="17">
        <v>19420632369</v>
      </c>
      <c r="H76" s="20"/>
      <c r="I76" s="18">
        <f>Table3_2[[#This Row],[Sales Amount]]/Table3_2[[#This Row],[Net Sales (by Group Category)]]</f>
        <v>1.0535164669848244E-2</v>
      </c>
    </row>
    <row r="77" spans="1:9" x14ac:dyDescent="0.25">
      <c r="A77">
        <v>27</v>
      </c>
      <c r="B77" t="s">
        <v>22</v>
      </c>
      <c r="C77" s="16">
        <v>1</v>
      </c>
      <c r="D77" s="17">
        <v>1102</v>
      </c>
      <c r="E77" s="17">
        <v>49749</v>
      </c>
      <c r="F77" s="19">
        <v>281951870</v>
      </c>
      <c r="G77" s="17">
        <v>28641031706</v>
      </c>
      <c r="H77" s="20"/>
      <c r="I77" s="18">
        <f>Table3_2[[#This Row],[Sales Amount]]/Table3_2[[#This Row],[Net Sales (by Group Category)]]</f>
        <v>9.8443335733933782E-3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C56-57F5-4595-A688-AFDC1110F836}">
  <dimension ref="A1:I2"/>
  <sheetViews>
    <sheetView workbookViewId="0">
      <selection activeCell="H11" sqref="H11"/>
    </sheetView>
  </sheetViews>
  <sheetFormatPr defaultColWidth="9" defaultRowHeight="15" x14ac:dyDescent="0.25"/>
  <cols>
    <col min="1" max="1" width="8.85546875" bestFit="1" customWidth="1"/>
    <col min="2" max="2" width="24" customWidth="1"/>
    <col min="3" max="3" width="12.140625" bestFit="1" customWidth="1"/>
    <col min="4" max="4" width="10.42578125" bestFit="1" customWidth="1"/>
    <col min="5" max="5" width="13.140625" customWidth="1"/>
    <col min="6" max="6" width="14.140625" bestFit="1" customWidth="1"/>
    <col min="7" max="7" width="13.28515625" bestFit="1" customWidth="1"/>
    <col min="8" max="8" width="31.140625" bestFit="1" customWidth="1"/>
    <col min="9" max="9" width="17.5703125" bestFit="1" customWidth="1"/>
  </cols>
  <sheetData>
    <row r="1" spans="1:9" x14ac:dyDescent="0.25">
      <c r="A1" s="21" t="s">
        <v>0</v>
      </c>
      <c r="B1" s="21" t="s">
        <v>28</v>
      </c>
      <c r="C1" s="21" t="s">
        <v>9</v>
      </c>
      <c r="D1" s="21" t="s">
        <v>8</v>
      </c>
      <c r="E1" s="21" t="s">
        <v>2</v>
      </c>
      <c r="F1" s="21" t="s">
        <v>3</v>
      </c>
      <c r="G1" s="21" t="s">
        <v>4</v>
      </c>
      <c r="H1" s="21" t="s">
        <v>26</v>
      </c>
      <c r="I1" s="21" t="s">
        <v>27</v>
      </c>
    </row>
    <row r="2" spans="1:9" x14ac:dyDescent="0.25">
      <c r="A2" s="22" t="s">
        <v>25</v>
      </c>
      <c r="B2" s="22" t="s">
        <v>24</v>
      </c>
      <c r="C2" s="24">
        <v>45870</v>
      </c>
      <c r="D2" s="22">
        <v>1</v>
      </c>
      <c r="E2" s="5">
        <v>758</v>
      </c>
      <c r="F2" s="5">
        <v>43195</v>
      </c>
      <c r="G2" s="5">
        <v>6236032430</v>
      </c>
      <c r="H2" s="5">
        <v>210865099430</v>
      </c>
      <c r="I2" s="23">
        <f>Table3_2[[#This Row],[Sales Amount]]/Table3_2[[#This Row],[Net Sales (by Group Category)]]</f>
        <v>3.2763917176864901E-3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5CBA6-AC08-4399-AC5A-2B60872574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All (Year)</vt:lpstr>
      <vt:lpstr>Summary All (Month)</vt:lpstr>
      <vt:lpstr>Summary Non Cigarette (Year)</vt:lpstr>
      <vt:lpstr>Summary Non Cigarette (Month)</vt:lpstr>
      <vt:lpstr>Summary Cigarette Only (Month)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2026-01-28T21:27:06Z</dcterms:created>
  <dcterms:modified xsi:type="dcterms:W3CDTF">2026-01-28T22:39:17Z</dcterms:modified>
</cp:coreProperties>
</file>